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b6f8ec556df36a/Documents/Project/"/>
    </mc:Choice>
  </mc:AlternateContent>
  <xr:revisionPtr revIDLastSave="2" documentId="8_{243BAC54-B643-451E-A81F-E92930B1B066}" xr6:coauthVersionLast="47" xr6:coauthVersionMax="47" xr10:uidLastSave="{5551BA4F-2A1A-474E-A8F5-0289C1B0F13F}"/>
  <bookViews>
    <workbookView xWindow="-108" yWindow="-108" windowWidth="23256" windowHeight="12456" firstSheet="1" activeTab="2" xr2:uid="{DB8E4F1C-D864-4C50-BB89-946D5BC2BB45}"/>
  </bookViews>
  <sheets>
    <sheet name="Supplier Pareto Analysis" sheetId="1" r:id="rId1"/>
    <sheet name="VENDOR CATEGORIZATION DASHBOARD" sheetId="2" r:id="rId2"/>
    <sheet name="VENDOR RATIONALIZATION DASHBOAR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7" i="4" s="1"/>
  <c r="C11" i="4" s="1"/>
  <c r="D6" i="4"/>
  <c r="E6" i="4" s="1"/>
  <c r="D5" i="4"/>
  <c r="E5" i="4" s="1"/>
  <c r="C7" i="4"/>
  <c r="F7" i="4" s="1"/>
  <c r="C10" i="4" s="1"/>
  <c r="C6" i="4"/>
  <c r="F6" i="4" s="1"/>
  <c r="C5" i="4"/>
  <c r="F5" i="4" s="1"/>
  <c r="B6" i="2"/>
  <c r="B5" i="2"/>
  <c r="B4" i="2"/>
  <c r="B3" i="2"/>
  <c r="B13" i="4" l="1"/>
</calcChain>
</file>

<file path=xl/sharedStrings.xml><?xml version="1.0" encoding="utf-8"?>
<sst xmlns="http://schemas.openxmlformats.org/spreadsheetml/2006/main" count="1103" uniqueCount="567">
  <si>
    <t>Supplier_Name</t>
  </si>
  <si>
    <t>Active_SKU_Count</t>
  </si>
  <si>
    <t>Total_Retail_Sales</t>
  </si>
  <si>
    <t>Total_Retail_Transfers</t>
  </si>
  <si>
    <t>Total_Warehouse_Sales</t>
  </si>
  <si>
    <t>Gross_Outbound_Volume</t>
  </si>
  <si>
    <t>Cumulative_Volume_Pct</t>
  </si>
  <si>
    <t>Vendor_Tier</t>
  </si>
  <si>
    <t>CROWN IMPORTS</t>
  </si>
  <si>
    <t>Tier 1 - Strategic (Top 80%)</t>
  </si>
  <si>
    <t>MILLER BREWING COMPANY</t>
  </si>
  <si>
    <t>ANHEUSER BUSCH INC</t>
  </si>
  <si>
    <t>HEINEKEN USA</t>
  </si>
  <si>
    <t>E &amp; J GALLO WINERY</t>
  </si>
  <si>
    <t>DIAGEO NORTH AMERICA INC</t>
  </si>
  <si>
    <t>BOSTON BEER CORPORATION</t>
  </si>
  <si>
    <t>CONSTELLATION BRANDS</t>
  </si>
  <si>
    <t>YUENGLING BREWERY</t>
  </si>
  <si>
    <t>FLYING DOG BREWERY LLLP</t>
  </si>
  <si>
    <t>THE WINE GROUP</t>
  </si>
  <si>
    <t>PABST BREWING CO</t>
  </si>
  <si>
    <t>JIM BEAM BRANDS CO</t>
  </si>
  <si>
    <t>SAZERAC CO</t>
  </si>
  <si>
    <t>LEGENDS LTD</t>
  </si>
  <si>
    <t>SUTTER HOME WINERY INC</t>
  </si>
  <si>
    <t>MARK ANTHONY BRANDS INC</t>
  </si>
  <si>
    <t>REPUBLIC NATIONAL DISTRIBUTING CO</t>
  </si>
  <si>
    <t>SIERRA NEVADA BREWING CO</t>
  </si>
  <si>
    <t>BACARDI USA INC</t>
  </si>
  <si>
    <t>SOUTHERN GLAZERS WINE AND SPIRITS</t>
  </si>
  <si>
    <t>Tier 2 - Mid Core (80-95%)</t>
  </si>
  <si>
    <t>DEUTSCH FAMILY WINE &amp; SPIRITS</t>
  </si>
  <si>
    <t>PERNOD RICARD USA LLC</t>
  </si>
  <si>
    <t>TREASURY WINE ESTATES AMERICAS COMPANY</t>
  </si>
  <si>
    <t>BROWN-FORMAN BEVERAGES WORLDWIDE</t>
  </si>
  <si>
    <t>HEAVEN HILL DISTILLERIES INC</t>
  </si>
  <si>
    <t>DELICATO FAMILY VINEYARDS</t>
  </si>
  <si>
    <t>JACKSON FAMILY ENTERPRISES INC</t>
  </si>
  <si>
    <t>THE COUNTRY VINTNER, LLC DBA WINEBOW</t>
  </si>
  <si>
    <t>BUCK DISTRIBUTING COMPANY INC</t>
  </si>
  <si>
    <t>FIFTH GENERATION INC</t>
  </si>
  <si>
    <t>DOGFISH HEAD CRAFT BREWERY LLC</t>
  </si>
  <si>
    <t>NEW BELGIUM BREWING INC</t>
  </si>
  <si>
    <t>A VINTNERS SELECTIONS</t>
  </si>
  <si>
    <t>PROXIMO SPIRITS INC</t>
  </si>
  <si>
    <t>RELIABLE CHURCHILL LLLP</t>
  </si>
  <si>
    <t>STE MICHELLE WINE ESTATES</t>
  </si>
  <si>
    <t>FETZER VINEYARDS</t>
  </si>
  <si>
    <t>WILLIAM GRANT AND SONS INC</t>
  </si>
  <si>
    <t>MOET HENNESSY USA</t>
  </si>
  <si>
    <t>CAMPARI AMERICA LLC</t>
  </si>
  <si>
    <t>DOGFISH HEAD CRAFT BREWERY</t>
  </si>
  <si>
    <t>CLIPPER CITY BREWING CO</t>
  </si>
  <si>
    <t>MONSIEUR TOUTON SELECTION</t>
  </si>
  <si>
    <t>DC BRAU BREWING LLC</t>
  </si>
  <si>
    <t>BACCHUS IMPORTERS LTD</t>
  </si>
  <si>
    <t>CONSTANTINE WINES INC</t>
  </si>
  <si>
    <t>LABATT USA OPERATING CO LLC</t>
  </si>
  <si>
    <t>KYSELA PERE ET FILS LTD</t>
  </si>
  <si>
    <t>PALM BAY IMPORTS</t>
  </si>
  <si>
    <t>DELMAR BREWING COMPANY LLC</t>
  </si>
  <si>
    <t>OPICI FAMILY DISTRIBUTING OF MD</t>
  </si>
  <si>
    <t>DOPS INC</t>
  </si>
  <si>
    <t>SWEET GRACE DISTILLING CO LLC</t>
  </si>
  <si>
    <t>EXCELSIOR WINE COMPANY LLC</t>
  </si>
  <si>
    <t>ROYAL WINE CORP</t>
  </si>
  <si>
    <t>PRESTIGE BEVERAGE GROUP OF MD LLC</t>
  </si>
  <si>
    <t>DIONYSOS IMPORTS INC</t>
  </si>
  <si>
    <t>MHW LTD</t>
  </si>
  <si>
    <t>BANFI PRODUCTS CORP</t>
  </si>
  <si>
    <t>PUNTO VINO LLC</t>
  </si>
  <si>
    <t>LAPHAM SALES &amp; MARKETING DBA LAPHAM</t>
  </si>
  <si>
    <t>PWSWN INC</t>
  </si>
  <si>
    <t>LUNEAU USA INC</t>
  </si>
  <si>
    <t>ELITE WINES IMPORTS</t>
  </si>
  <si>
    <t>TRI-VIN IMPORTS</t>
  </si>
  <si>
    <t>CASTLE BRANDS USA CORP</t>
  </si>
  <si>
    <t>FRANCIS COPPOLA WINERY LLC</t>
  </si>
  <si>
    <t>REYES HOLDINGS LLC</t>
  </si>
  <si>
    <t>LANTERNA DISTRIBUTORS INC</t>
  </si>
  <si>
    <t>KOBRAND CORPORATION</t>
  </si>
  <si>
    <t>Tier 3 - Long Tail (Bottom 5%)</t>
  </si>
  <si>
    <t>GRAPES OF SPAIN INC</t>
  </si>
  <si>
    <t>REMY COINTREAU USA</t>
  </si>
  <si>
    <t>NEXTERRA WINE COMPANY</t>
  </si>
  <si>
    <t>J LOHR WINERY</t>
  </si>
  <si>
    <t>YOUNG WON TRADING INC</t>
  </si>
  <si>
    <t>GAMBRINUS</t>
  </si>
  <si>
    <t>KATCEF BROTHERS INC</t>
  </si>
  <si>
    <t>DMV DISTRIBUTING LLC</t>
  </si>
  <si>
    <t>ARTISANS &amp; VINES LLC</t>
  </si>
  <si>
    <t>AMERICAN BEVERAGE MARKETERS</t>
  </si>
  <si>
    <t>VICTORY BREWING COMPANY LLC</t>
  </si>
  <si>
    <t>BARON FRANCOIS LTD</t>
  </si>
  <si>
    <t>BACKUP BEVERAGE</t>
  </si>
  <si>
    <t>INTERBALT PRODUCTS CORP</t>
  </si>
  <si>
    <t>FX MATT BREWING CO</t>
  </si>
  <si>
    <t>LUXCO SPIRITED BRANDS</t>
  </si>
  <si>
    <t>MITCHELL BEVERAGE OF MARYLAND LLC</t>
  </si>
  <si>
    <t>FIFTH GENERATION DISTILLED SPIRITS, INC</t>
  </si>
  <si>
    <t>NORTH LOCK LLC DBA PORT CITY BREWING CO</t>
  </si>
  <si>
    <t>FREIXENET USA</t>
  </si>
  <si>
    <t>ALLAGASH BREWING COMPANY</t>
  </si>
  <si>
    <t>MASS BAY BREWING CO</t>
  </si>
  <si>
    <t>TROEGS BREWING COMPANY</t>
  </si>
  <si>
    <t>THREE STARS BREWING COMPANY LLC</t>
  </si>
  <si>
    <t>DUCKHORN WINE COMPANY</t>
  </si>
  <si>
    <t>ATLAS BREW WORKS LLC</t>
  </si>
  <si>
    <t>COASTAL BREWING COMPANY LLC</t>
  </si>
  <si>
    <t>ST KILLIAN IMPORTING CO INC</t>
  </si>
  <si>
    <t>SFB BUCK LLC</t>
  </si>
  <si>
    <t>UNITED STATES DISTILLED PRODUCTS</t>
  </si>
  <si>
    <t>QUINTESSENTIAL LLC</t>
  </si>
  <si>
    <t>STOLI GROUP (USA) LLC</t>
  </si>
  <si>
    <t>THE EDRINGTON GROUP USA LLC</t>
  </si>
  <si>
    <t>BANVILLE &amp; JONES WINE MERCHANTS</t>
  </si>
  <si>
    <t>SALVETO IMPORTS LLC</t>
  </si>
  <si>
    <t>SURVILLE ENTERPRISES CORP</t>
  </si>
  <si>
    <t>ASAHI BEER USA INC</t>
  </si>
  <si>
    <t>HOME BREW MART INC</t>
  </si>
  <si>
    <t>WARSTEINER IMPORTERS</t>
  </si>
  <si>
    <t>THE BROOKLYN BREWERY CORPORATION</t>
  </si>
  <si>
    <t>EASTERN LIQUOR DISTRIBUTORS INC</t>
  </si>
  <si>
    <t>JACK POUST &amp; COMPANY INC</t>
  </si>
  <si>
    <t>NEW PARROTT &amp; CO</t>
  </si>
  <si>
    <t>PATERNO IMPORTS LTD</t>
  </si>
  <si>
    <t>JOS VICTORI WINES</t>
  </si>
  <si>
    <t>SINGHA NORTH AMERICA INC</t>
  </si>
  <si>
    <t>C MONDAVI &amp; SONS</t>
  </si>
  <si>
    <t>KLEIN FAMILY VINTNERS</t>
  </si>
  <si>
    <t>BOLD ROCK PARTNERS LP</t>
  </si>
  <si>
    <t>IMPERO WINE DISTRIBUTORS VIRGINIA INC</t>
  </si>
  <si>
    <t>BRONCO WINE COMPANY</t>
  </si>
  <si>
    <t>MAST-JAEGERMEISTER US INC</t>
  </si>
  <si>
    <t>VERMONT HARD CIDER COMPANY LLC</t>
  </si>
  <si>
    <t>SANTA MARGHERITA USA INC</t>
  </si>
  <si>
    <t>SAN ANTONIO WINERY INC</t>
  </si>
  <si>
    <t>AREL GROUP WINE &amp; SPIRITS</t>
  </si>
  <si>
    <t>CABERNET CORPORATION</t>
  </si>
  <si>
    <t>Default</t>
  </si>
  <si>
    <t>CITIZENS BREWING LLC</t>
  </si>
  <si>
    <t>FREIXENET MIONETTO USA INC</t>
  </si>
  <si>
    <t>FREDERICK WILDMAN &amp; SONS</t>
  </si>
  <si>
    <t>SCHMITT SOHNE INC</t>
  </si>
  <si>
    <t>DESCHUTES BREWERY INC</t>
  </si>
  <si>
    <t>DUGGANS DISTILLERS PROD</t>
  </si>
  <si>
    <t>GLOBAL OCEAN AND AIR CARGO SERVICES</t>
  </si>
  <si>
    <t>PRESTIGE WINE IMPORTS</t>
  </si>
  <si>
    <t>STARR HILL BREWERY LLC</t>
  </si>
  <si>
    <t>PHUSION PROJECTS LLC</t>
  </si>
  <si>
    <t>GRAPES &amp; BARLEY LLC</t>
  </si>
  <si>
    <t>VIGNOBLES LVDH USA INC</t>
  </si>
  <si>
    <t>PARK STREET IMPORTS LLC</t>
  </si>
  <si>
    <t>MONTEBELLO BRANDS INC</t>
  </si>
  <si>
    <t>MICHAEL R DOWNEY SELECTIONS INC</t>
  </si>
  <si>
    <t>SWEETWATER BREWING COMPANY LLC</t>
  </si>
  <si>
    <t>DUCLAW BREWERY LLC</t>
  </si>
  <si>
    <t>THE HESS COLLECTION</t>
  </si>
  <si>
    <t>WELL OILED WINE COMPANY LLC</t>
  </si>
  <si>
    <t>TRADEWINDS SPECIALTY IMPORTS LLC</t>
  </si>
  <si>
    <t>TERRAPIN BEER COMPANY</t>
  </si>
  <si>
    <t>DUVEL MOORTGAT USA LTD</t>
  </si>
  <si>
    <t>ATHLETIC BREWING COMPANY LLC</t>
  </si>
  <si>
    <t>RUTHERFORD WINE COMPANY</t>
  </si>
  <si>
    <t>LCF WINE COMPANY LLC</t>
  </si>
  <si>
    <t>ONE TRUE VINE</t>
  </si>
  <si>
    <t>WI INC</t>
  </si>
  <si>
    <t>FOLEY FAMILY WINES INC</t>
  </si>
  <si>
    <t>NARRAGANSETT BREWING COMPANY</t>
  </si>
  <si>
    <t>THE TRITON COLLECTION INC</t>
  </si>
  <si>
    <t>E M D SALES INC</t>
  </si>
  <si>
    <t>VINTAGE WINE ESTATES INC</t>
  </si>
  <si>
    <t>DOUBLE DEUCE DISTILLING LLC</t>
  </si>
  <si>
    <t>DON SEBASTIANI &amp; SONS</t>
  </si>
  <si>
    <t>DISARONNO INTERNATIONAL LLC</t>
  </si>
  <si>
    <t>STEFANO INCORPORATED</t>
  </si>
  <si>
    <t>KING &amp; CANYON BEVERAGE COMPANY LLC</t>
  </si>
  <si>
    <t>RM2 CONSULTING INC</t>
  </si>
  <si>
    <t>BOGLE VINEYARDS INC</t>
  </si>
  <si>
    <t>BINDING BRAUEREI USA INC</t>
  </si>
  <si>
    <t>COPPER CANE LLC</t>
  </si>
  <si>
    <t>BBL INC</t>
  </si>
  <si>
    <t>O'NEILL BEVERAGES CO LLC</t>
  </si>
  <si>
    <t>INTERNATIONAL CELLARS LLC</t>
  </si>
  <si>
    <t>KING ESTATE WINERY</t>
  </si>
  <si>
    <t>WASHBURN WINE CO</t>
  </si>
  <si>
    <t>IMPERO WINE DISTRIBUTORS</t>
  </si>
  <si>
    <t>WINE BRIDGE IMPORTS INC</t>
  </si>
  <si>
    <t>PARALLEL WORLD BREWING COMPANY</t>
  </si>
  <si>
    <t>NICHE IMPORTERS</t>
  </si>
  <si>
    <t>INFINIUM SPIRITS INC</t>
  </si>
  <si>
    <t>AMERICAN BEVERAGE CORPORATION</t>
  </si>
  <si>
    <t>WESTERN SPIRITS BEVERAGE COMPANY LLC</t>
  </si>
  <si>
    <t>RUSSIAN STANDARD VODKA (USA) INC</t>
  </si>
  <si>
    <t>WAGNER WINE COMPANY LLC</t>
  </si>
  <si>
    <t>ST RICE WINE INC</t>
  </si>
  <si>
    <t>SERRALLES USA LLC</t>
  </si>
  <si>
    <t>MACCHU PISCO LLC</t>
  </si>
  <si>
    <t>HUB WINE CORPORATION</t>
  </si>
  <si>
    <t>BROOKEVILLE BREWING LLC</t>
  </si>
  <si>
    <t>SAGAMORE WHISKEY LLC</t>
  </si>
  <si>
    <t>FREE RUN WINE MERCHANTS LLC</t>
  </si>
  <si>
    <t>MACK &amp; SCHUHLE INC</t>
  </si>
  <si>
    <t>NEGUS BREWING COMPANY LLC</t>
  </si>
  <si>
    <t>PIPE CREEK WINES LLC</t>
  </si>
  <si>
    <t>UNITED STATES BEVERAGE</t>
  </si>
  <si>
    <t>ROOTS RUN DEEP LLC</t>
  </si>
  <si>
    <t>SLIGO MILL BREWING LLC</t>
  </si>
  <si>
    <t>OSLO ENTERPRISE</t>
  </si>
  <si>
    <t>CHEVAL QUANCARD</t>
  </si>
  <si>
    <t>FERRARI CARANO WINERY</t>
  </si>
  <si>
    <t>FIVE GRAPES LLC</t>
  </si>
  <si>
    <t>TAP26MD LLC</t>
  </si>
  <si>
    <t>THE OTHER SIDE LLC</t>
  </si>
  <si>
    <t>VINO COM LLC DBA TOTAL BEVERAGE SOLUTION</t>
  </si>
  <si>
    <t>HONIG VINEYARD AND WINERY</t>
  </si>
  <si>
    <t>CHARLES JACQUIN ET CIE INC</t>
  </si>
  <si>
    <t>HOTALING &amp; CO LLC</t>
  </si>
  <si>
    <t>CRAFT WINE &amp; SPIRITS OF MARYLAND LLC</t>
  </si>
  <si>
    <t>PHILLIPS FARMS LLC</t>
  </si>
  <si>
    <t>RVWC LLC</t>
  </si>
  <si>
    <t>POTOMAC SELECTIONS INC</t>
  </si>
  <si>
    <t>TRICANA SHIPPERS &amp; IMPORT</t>
  </si>
  <si>
    <t>GOOSE RIDGE LLC</t>
  </si>
  <si>
    <t>ROBERT OATLEY VINEYARDS INC</t>
  </si>
  <si>
    <t>TESTA WINES OF THE WORLD LTD</t>
  </si>
  <si>
    <t>THE SPANISH WINE IMPORTERS LLC</t>
  </si>
  <si>
    <t>VIN DIVINO LTD</t>
  </si>
  <si>
    <t>BASQUE BAR LLC</t>
  </si>
  <si>
    <t>AMERICAN FIDELITY TRADING</t>
  </si>
  <si>
    <t>SPAINS BEST BEERS INC</t>
  </si>
  <si>
    <t>THE WINE SOURCE INC</t>
  </si>
  <si>
    <t>WINERY EXCHANGE INC</t>
  </si>
  <si>
    <t>MPL BRANDS NV INC</t>
  </si>
  <si>
    <t>OREGON BREWING COMPANY</t>
  </si>
  <si>
    <t>BOORDY VINEYARDS</t>
  </si>
  <si>
    <t>INTERCONTINENTAL PACKAGING COMPANY</t>
  </si>
  <si>
    <t>ELK RUN VINEYARDS</t>
  </si>
  <si>
    <t>DAD STRENGTH BREWING, LLC</t>
  </si>
  <si>
    <t>MADIDUS LLC</t>
  </si>
  <si>
    <t>FREDERICK P WINNER LTD</t>
  </si>
  <si>
    <t>LATITUDE BEVERAGE COMPANY</t>
  </si>
  <si>
    <t>LAIRD AND COMPANY</t>
  </si>
  <si>
    <t>WILSON DANIELS LTD</t>
  </si>
  <si>
    <t>SCHUG CARNEROS ESTATE WINERY</t>
  </si>
  <si>
    <t>TREFETHEN VINEYARDS</t>
  </si>
  <si>
    <t>TREANA WINERY LLC</t>
  </si>
  <si>
    <t>AUSTIN NICHOLS &amp; CO</t>
  </si>
  <si>
    <t>FOUR ROSES DISTILLERY LLC</t>
  </si>
  <si>
    <t>LONE OAK BREWING COMPANY LLC</t>
  </si>
  <si>
    <t>SANTA MARGHERITA USA INC DBA HERITA USA</t>
  </si>
  <si>
    <t>HAPPY DAD, LLC</t>
  </si>
  <si>
    <t>JOHN GIVEN WINES INC</t>
  </si>
  <si>
    <t>PLUME RIDGE IRREVOCABLE TRUST</t>
  </si>
  <si>
    <t>LION NATHAN USA INC</t>
  </si>
  <si>
    <t>CHINGIZ LLC</t>
  </si>
  <si>
    <t>CRAFT BREW ALLIANCE INC</t>
  </si>
  <si>
    <t>TRUE RESPITE BREWING COMPANY LLC</t>
  </si>
  <si>
    <t>OHMRONE WINE AND LIQUOR LLC</t>
  </si>
  <si>
    <t>JORDAN VINEYARD</t>
  </si>
  <si>
    <t>HARVEST IMPORTING LLC</t>
  </si>
  <si>
    <t>SLIGO MILL BREWING COMPANY</t>
  </si>
  <si>
    <t>LINGANORE WINES LLC</t>
  </si>
  <si>
    <t>FRUIT OF THE VINES INC</t>
  </si>
  <si>
    <t>BGPL-USA, INC</t>
  </si>
  <si>
    <t>RIGHT FORWARD LLC</t>
  </si>
  <si>
    <t>ST SUPERY INC</t>
  </si>
  <si>
    <t>BOND DISTRIBUTING CO</t>
  </si>
  <si>
    <t>AFARO LLC</t>
  </si>
  <si>
    <t>POST MERIDIEM SPIRIT COMPANY LLC</t>
  </si>
  <si>
    <t>CAVALIER VENTURES LLC</t>
  </si>
  <si>
    <t>ANXO LOGISTICS LLC</t>
  </si>
  <si>
    <t>DISTRICT CIDER COMPANY INC</t>
  </si>
  <si>
    <t>BREW BUS BREWING, INC</t>
  </si>
  <si>
    <t>MARUSSIA BEVERAGES USA INC</t>
  </si>
  <si>
    <t>RED INK IMPORTS</t>
  </si>
  <si>
    <t>VINTAGE POINT LLC</t>
  </si>
  <si>
    <t>J &amp; J DISTILLERS LLC</t>
  </si>
  <si>
    <t>GELOSO BEVERAGE GROUP LLC</t>
  </si>
  <si>
    <t>COMETE WINES LLC</t>
  </si>
  <si>
    <t>BULLSHINE DISTILLERY LLC</t>
  </si>
  <si>
    <t>BOUTIQUE VINEYARDS LLC</t>
  </si>
  <si>
    <t>NICKOLAS IMPORTS LLC</t>
  </si>
  <si>
    <t>RESURRECTION BRANDS LLC</t>
  </si>
  <si>
    <t>CELICAR LLC DBA TWIN VALLEY DISTILLERS</t>
  </si>
  <si>
    <t>WILLIAMS CORNER WINE</t>
  </si>
  <si>
    <t>FRONT PORCH MICRO WINERY LLC</t>
  </si>
  <si>
    <t>FILIBUSTER BARRELS LLC</t>
  </si>
  <si>
    <t>A I G WINE &amp; SPIRITS</t>
  </si>
  <si>
    <t>FN CELLARS LLC</t>
  </si>
  <si>
    <t>THE VINERY LLC</t>
  </si>
  <si>
    <t>SOKOL BLOSSER LTD</t>
  </si>
  <si>
    <t>WC BEVERAGE LLC</t>
  </si>
  <si>
    <t>PRECEPT BRANDS LLC</t>
  </si>
  <si>
    <t>THE RIVER WINE</t>
  </si>
  <si>
    <t>CAPE STARZ WINE LLC</t>
  </si>
  <si>
    <t>GRATON SPIRITS COMPANY LLC</t>
  </si>
  <si>
    <t>DRAGON DISTILLERY LLC</t>
  </si>
  <si>
    <t>DISARONNO INTERNATIONAL USA LLC</t>
  </si>
  <si>
    <t>PARAGON VINEYARD CO INC</t>
  </si>
  <si>
    <t>TAPWINES</t>
  </si>
  <si>
    <t>AZIZ SHAFI TANNIC TONGUE</t>
  </si>
  <si>
    <t>VINTAGE WINES INC</t>
  </si>
  <si>
    <t>DOGFISH HEAD DISTILLERY LLC</t>
  </si>
  <si>
    <t>AMERICAN BEVERAGE CRAFTS, LLC</t>
  </si>
  <si>
    <t>SOLACE BREWING COMPANY LLC</t>
  </si>
  <si>
    <t>CANTINIERE IMPORTS &amp; DISTRIBUTING INC</t>
  </si>
  <si>
    <t>STELLAR IMPORTING CO LLC</t>
  </si>
  <si>
    <t>SIDNEY-FRANK IMPORTING CO</t>
  </si>
  <si>
    <t>TI BEVERAGE GROUP LTD</t>
  </si>
  <si>
    <t>BOZICK DISTRIBUTORS INC</t>
  </si>
  <si>
    <t>SOVEREIGN BRANDS LLC</t>
  </si>
  <si>
    <t>A TO Z WINEWORKS LLC</t>
  </si>
  <si>
    <t>LUXURY SPIRITS INTERNATIONAL LLC</t>
  </si>
  <si>
    <t>MCCLINTOCK DISTILLING LLC</t>
  </si>
  <si>
    <t>FOLIO WINE COMPANY LLC</t>
  </si>
  <si>
    <t>LYON DISTILLING COMPANY LLC</t>
  </si>
  <si>
    <t>CARROLL CREEK WHISKEY LLC DBA TENTH</t>
  </si>
  <si>
    <t>MOUNT DEFIANCE CIDERY &amp; DISTILLERY LLC</t>
  </si>
  <si>
    <t>ENTOURAGE BRANDS LLC</t>
  </si>
  <si>
    <t>LEGACY PARTNERS DISTRIBUTION LLC</t>
  </si>
  <si>
    <t>MEXCOR INTERNATIONAL</t>
  </si>
  <si>
    <t>DV SPIRITS LLC</t>
  </si>
  <si>
    <t>SUGARLOAF MOUNTAIN SUNLIGHT VINEYARD LLC</t>
  </si>
  <si>
    <t>PREMIUM DISTRIBUTORS OF MARYLAND</t>
  </si>
  <si>
    <t>DANGEROUS WINE GROUP LLC</t>
  </si>
  <si>
    <t>HOUTON PURVEYORS LLC</t>
  </si>
  <si>
    <t>MCNEILL INDEPENDENT SPIRIT CREATORS LLC</t>
  </si>
  <si>
    <t>CARROLL CREEK WHISKEY LLC</t>
  </si>
  <si>
    <t>MILLER FAMILY WINE COMPANY LLC</t>
  </si>
  <si>
    <t>CASA CHIRICO LLC</t>
  </si>
  <si>
    <t>GLOU GLOU WINES LLC</t>
  </si>
  <si>
    <t>ROBERT GIRAUD</t>
  </si>
  <si>
    <t>GLOBAL BEVERAGE TEAM LLC</t>
  </si>
  <si>
    <t>BREWDOG BREWING COMPANY LLC</t>
  </si>
  <si>
    <t>DOMAINE SELECT WINE &amp; SPIRITS LLC</t>
  </si>
  <si>
    <t>FORDHAM LEE DISTILLERY LLC</t>
  </si>
  <si>
    <t>VINTURE WINE COMPANY LLC</t>
  </si>
  <si>
    <t>ADAMBA IMPORTS INTL</t>
  </si>
  <si>
    <t>EVEREST SPIRITS LLC</t>
  </si>
  <si>
    <t>WILLIAM HARRISON IMPORTS</t>
  </si>
  <si>
    <t>CLASSIC WINE IMPORTS INC DBA VISION WINE</t>
  </si>
  <si>
    <t>SMT AQUISITIONS LLC</t>
  </si>
  <si>
    <t>USA WINE IMPORTS INC</t>
  </si>
  <si>
    <t>FANTASMA LLC</t>
  </si>
  <si>
    <t>SONG DOG SPIRITS LLC</t>
  </si>
  <si>
    <t>SCOPERTA IMPORTING COMPANY INC</t>
  </si>
  <si>
    <t>GF WINES, LLC DBA GARY FARRELL WINERY</t>
  </si>
  <si>
    <t>CALEDONIA SPIRITS INC</t>
  </si>
  <si>
    <t>HARBOR WINES</t>
  </si>
  <si>
    <t>GEORGIAN HOUSE OF GREATER WASHINGTON</t>
  </si>
  <si>
    <t>BOORDY VINEYARDS INC</t>
  </si>
  <si>
    <t>FOWLES WINE USA INC</t>
  </si>
  <si>
    <t>WAREDACA BREWING COMPANY LLC</t>
  </si>
  <si>
    <t>BUTTERFLY SPIRITS LLC</t>
  </si>
  <si>
    <t>SIMON N CELLARS LLC</t>
  </si>
  <si>
    <t>STOLLER VINEYARDS, INC</t>
  </si>
  <si>
    <t>20705 IMPORTS</t>
  </si>
  <si>
    <t>NOVELTY MD INC</t>
  </si>
  <si>
    <t>AZABU DISTILLING CO LLC</t>
  </si>
  <si>
    <t>LLYTE LLC</t>
  </si>
  <si>
    <t>VINTUS LLC</t>
  </si>
  <si>
    <t>BITTERMILK LLC</t>
  </si>
  <si>
    <t>THE ZAMORA AMERICAS, INC</t>
  </si>
  <si>
    <t>CLINE CELLARS INC</t>
  </si>
  <si>
    <t>ROBERT OATLEY</t>
  </si>
  <si>
    <t>WIDE ROOTS LLC</t>
  </si>
  <si>
    <t>MONOCACY BREWING CO LLC</t>
  </si>
  <si>
    <t>LONGLEY FOOD &amp; BEVERAGE</t>
  </si>
  <si>
    <t>Z WINE GALLERY IMPORTS LLC</t>
  </si>
  <si>
    <t>NEW RIFF DISTILLING</t>
  </si>
  <si>
    <t>NORESTE SPIRITS CORPORATION</t>
  </si>
  <si>
    <t>THE SANDY BOTTOM ENTERPRISES LLC</t>
  </si>
  <si>
    <t>GROTH VINEYARDS &amp; WINERY</t>
  </si>
  <si>
    <t>THAI BREWING COMPANY</t>
  </si>
  <si>
    <t>R &amp; H EIGNER LLC</t>
  </si>
  <si>
    <t>TENTH HARVEST LLC</t>
  </si>
  <si>
    <t>OXFORD DISTILLING</t>
  </si>
  <si>
    <t>LA ISLA CORPORATION</t>
  </si>
  <si>
    <t>ST GEORGE SPIRITS INC</t>
  </si>
  <si>
    <t>CHASSEUR WINE LLC</t>
  </si>
  <si>
    <t>OENOS LLC</t>
  </si>
  <si>
    <t>PLATA WINE PARTNERS LLC</t>
  </si>
  <si>
    <t>BONANNO VINTNERS LLC</t>
  </si>
  <si>
    <t>METRO CELLARS, LLC</t>
  </si>
  <si>
    <t>RAPP CAPITAL LLC</t>
  </si>
  <si>
    <t>SCHEID VINEYARDS CALIFORNIA INC</t>
  </si>
  <si>
    <t>EVATON INC</t>
  </si>
  <si>
    <t>SNR HOLDINGS LLC</t>
  </si>
  <si>
    <t>PAMPA BEVERAGES LLC DBA TRANSNATIONAL SU</t>
  </si>
  <si>
    <t>ALLIED IMPORTERS USA LTD</t>
  </si>
  <si>
    <t>FRANK LIN MD</t>
  </si>
  <si>
    <t>GRAY WOLF LLC</t>
  </si>
  <si>
    <t>SHARE A SPLASH WINE CO LLC</t>
  </si>
  <si>
    <t>DORIA WINES LLC</t>
  </si>
  <si>
    <t>RIFT VALLEY IMPORTS LLC</t>
  </si>
  <si>
    <t>WETTEN IMPORTERS INC</t>
  </si>
  <si>
    <t>ZURENA LLC</t>
  </si>
  <si>
    <t>MONTGOMERY CTY  REV  AUTH  CROSSVINES</t>
  </si>
  <si>
    <t>OCEAN CITY BREWING CO LLC</t>
  </si>
  <si>
    <t>BALTIMORE WHISKEY COMPANY LLC</t>
  </si>
  <si>
    <t>ASGRAM LLC</t>
  </si>
  <si>
    <t>REPUBLIC RESTORATIVES</t>
  </si>
  <si>
    <t>THREE HENS LLC T/A TENTH HARVEST</t>
  </si>
  <si>
    <t>REGAL WINE IMPORTS INC</t>
  </si>
  <si>
    <t>WSC LLC</t>
  </si>
  <si>
    <t>GJS SALES INC</t>
  </si>
  <si>
    <t>FELICITA ENTERPRISES, LLC</t>
  </si>
  <si>
    <t>T-REX WINE CO LLC</t>
  </si>
  <si>
    <t>RED INK IMPORTS LLC</t>
  </si>
  <si>
    <t>PUERTO RICO DISTILLERY LLC</t>
  </si>
  <si>
    <t>USA WINE WEST LLC</t>
  </si>
  <si>
    <t>VINIFERA DISTRIBUTING OF MARYLAND INC</t>
  </si>
  <si>
    <t>GNATURAL SPIRITS INC</t>
  </si>
  <si>
    <t>TOBACCO BARN DISTILLERY</t>
  </si>
  <si>
    <t>CHANDEL &amp; CHANDEL INC</t>
  </si>
  <si>
    <t>CHARM CITY BEVERAGE LLC</t>
  </si>
  <si>
    <t>MARQUEE SELECTIONS LLC</t>
  </si>
  <si>
    <t>SPLINTER GROUP NAPA LLC</t>
  </si>
  <si>
    <t>LIBATION LLC DBA FORAGER IMPORTS</t>
  </si>
  <si>
    <t>AIKO IMPORTERS INC</t>
  </si>
  <si>
    <t>ATLANTIC WINE &amp; SPIRITS</t>
  </si>
  <si>
    <t>WHEELER BEVERAGE GROUP, LLC</t>
  </si>
  <si>
    <t>SUGARLANDS DISTILLING COMPANY LLC</t>
  </si>
  <si>
    <t>CIRCLE COLLECTION LLC</t>
  </si>
  <si>
    <t>GLUNZ FAMILY WINERY &amp; CELLARS</t>
  </si>
  <si>
    <t>GRAIL POINT BREWERY LLC</t>
  </si>
  <si>
    <t>HELEZ LLC</t>
  </si>
  <si>
    <t>FIG TREE WINERY LLC</t>
  </si>
  <si>
    <t>MAHOU IMPORTS LLC</t>
  </si>
  <si>
    <t>INTERNATIONAL SPIRITS &amp; WINES LLC</t>
  </si>
  <si>
    <t>SILVERTHORN RESERVE INC</t>
  </si>
  <si>
    <t>FAR NIENTE WINERY INC</t>
  </si>
  <si>
    <t>FRITZ IMPORTS LLC</t>
  </si>
  <si>
    <t>WITH MALUS AFORETHOUGHT LLC</t>
  </si>
  <si>
    <t>SAWM IMPORTS LLC</t>
  </si>
  <si>
    <t>BLUE STAR SPIRITS LLC</t>
  </si>
  <si>
    <t>MARKERS EDGE LLC</t>
  </si>
  <si>
    <t>OLD LINE SPIRITS LLC</t>
  </si>
  <si>
    <t>NEXUS BRANDS, LLC</t>
  </si>
  <si>
    <t>NORTHSTAR DISTRIBUTION LLC</t>
  </si>
  <si>
    <t>TERRA SANCTA TRADING COMPANY LLC</t>
  </si>
  <si>
    <t>A&amp;E INC</t>
  </si>
  <si>
    <t>BRIDGE CONSULTING SERVICES LLC</t>
  </si>
  <si>
    <t>SEMAJO LLC</t>
  </si>
  <si>
    <t>FOUR BLUE PALMS LLC</t>
  </si>
  <si>
    <t>ROSIE CHEEKS DISTILLERY</t>
  </si>
  <si>
    <t>AQUITAINE WINE USA LLC</t>
  </si>
  <si>
    <t>CROOK &amp; MARKER LLC</t>
  </si>
  <si>
    <t>LINNE CALODO INC</t>
  </si>
  <si>
    <t>BOARDROOM SPIRITS LLC</t>
  </si>
  <si>
    <t>GRAND ENCLOS DU CHATEAU DE CERONS</t>
  </si>
  <si>
    <t>FERMENTED BEVERAGE LLC</t>
  </si>
  <si>
    <t>PASSING THROUGH BEVERAGE BRANDS LLC</t>
  </si>
  <si>
    <t>MESOZOIC TECHNOLOGIES LLC</t>
  </si>
  <si>
    <t>NIEBAUM COPPOLA ESTATE WINERY LP</t>
  </si>
  <si>
    <t>AHAWC LLC</t>
  </si>
  <si>
    <t>BLOSSOM BEVERAGES , CORP</t>
  </si>
  <si>
    <t>WINDRIDGE VINEYARDS LLC</t>
  </si>
  <si>
    <t>LAKWORLD TRADE LLC</t>
  </si>
  <si>
    <t>RSL HOLDINGS INC</t>
  </si>
  <si>
    <t>CHURCH STREET LLC</t>
  </si>
  <si>
    <t>AW DIRECT LLC</t>
  </si>
  <si>
    <t>ARCHER ROOSE LLC</t>
  </si>
  <si>
    <t>ESSER WINES LLC</t>
  </si>
  <si>
    <t>HBT PARTNERS LLC</t>
  </si>
  <si>
    <t>MANO'S INC</t>
  </si>
  <si>
    <t>JAMES JOSEPH SANCTIFIED SPIRITS</t>
  </si>
  <si>
    <t>MONDO VINO</t>
  </si>
  <si>
    <t>SOUTHERN WINE &amp; SPIRITS OF MARYLAND</t>
  </si>
  <si>
    <t>NEXT CENTURY SPIRITS MANUFACTURING LLC</t>
  </si>
  <si>
    <t>ARIS A ZISSIS</t>
  </si>
  <si>
    <t>THE COPPER CAN LLC</t>
  </si>
  <si>
    <t>ALTITUDE SPIRITS INC</t>
  </si>
  <si>
    <t>NOBLE VINTNERS INC</t>
  </si>
  <si>
    <t>FIOR DI SOLE LLC</t>
  </si>
  <si>
    <t>OLD WESTMINSTER WINERY</t>
  </si>
  <si>
    <t>ZALEE CORPORATION</t>
  </si>
  <si>
    <t>CHEF SOUS LLC</t>
  </si>
  <si>
    <t>SUBARASHII KUDAMONO CO INC</t>
  </si>
  <si>
    <t>CLASSIC WINE IMPORTS INC</t>
  </si>
  <si>
    <t>WINEBOW INC</t>
  </si>
  <si>
    <t>SUGARLOAF MOUNTAIN VINEYARD LLC</t>
  </si>
  <si>
    <t>RED MOUNTAIN DISTILLING AND SPIRITS LLC</t>
  </si>
  <si>
    <t>MYHOUSELAND INC</t>
  </si>
  <si>
    <t>ROBERT KACHER SELECTIONS LLC</t>
  </si>
  <si>
    <t>SANGLIER SELECTIONS LLC</t>
  </si>
  <si>
    <t>NO RULES DISTRIBUTORS</t>
  </si>
  <si>
    <t>PLEASANT VALLEY DISTILLERY LLC</t>
  </si>
  <si>
    <t>SHMIDT SPIRITS LLC</t>
  </si>
  <si>
    <t>FAROPIAN SPIRITS LTD</t>
  </si>
  <si>
    <t>LOOK VODKA LLC</t>
  </si>
  <si>
    <t>FISHER VINEYARDS</t>
  </si>
  <si>
    <t>RED MOUNTAIN DISTILLING &amp; SPIRITS LLC</t>
  </si>
  <si>
    <t>AMERICAN VINTAGE BEVERAGE INC</t>
  </si>
  <si>
    <t>TEP CONSULTING LLC</t>
  </si>
  <si>
    <t>LOUTHAN DISTILLING, LLC</t>
  </si>
  <si>
    <t>8 VINI INC</t>
  </si>
  <si>
    <t>SMITH-ANDERSON ENTERPRISES INC</t>
  </si>
  <si>
    <t>BARREL ONE INC</t>
  </si>
  <si>
    <t>WEIN-BAUER INC</t>
  </si>
  <si>
    <t>FLAVOR SEEKERS LLC</t>
  </si>
  <si>
    <t>SPADA ENTERPRISES INC</t>
  </si>
  <si>
    <t>CHATEAU DIANA LLC</t>
  </si>
  <si>
    <t>MERRYVALE VINEYARDS</t>
  </si>
  <si>
    <t>FOU-DRE LLC</t>
  </si>
  <si>
    <t>BASIGNANI WINERY</t>
  </si>
  <si>
    <t>HEIMBUCH ESTATE VINEYARDS AND WINERY LLC</t>
  </si>
  <si>
    <t>AKA WINES</t>
  </si>
  <si>
    <t>AMAVI VINUM</t>
  </si>
  <si>
    <t>BLACK ANKLE VINEYARDS LLC</t>
  </si>
  <si>
    <t>ORGANIC VINTNERS INC</t>
  </si>
  <si>
    <t>Q TONIC LLC</t>
  </si>
  <si>
    <t>EGO VODKA LLC</t>
  </si>
  <si>
    <t>A&amp;W BORDERS LLC</t>
  </si>
  <si>
    <t>FLYGIRL WINERY</t>
  </si>
  <si>
    <t>D'AQUINO ITALIAN IMPORTING CO INC</t>
  </si>
  <si>
    <t>FIORE WINERY</t>
  </si>
  <si>
    <t>VINTAGE VIRGINIA APPLES</t>
  </si>
  <si>
    <t>MASSANOIS LLC</t>
  </si>
  <si>
    <t>F &amp; F DISTILLERY LLC</t>
  </si>
  <si>
    <t>METZGER WINERY, LLC</t>
  </si>
  <si>
    <t>CALVERT BREWING COMPANY</t>
  </si>
  <si>
    <t>FREELANCE WINES LLC</t>
  </si>
  <si>
    <t>CHEERS DISTRIBUTING INC</t>
  </si>
  <si>
    <t>ROMAN CLARKE WINES LLC</t>
  </si>
  <si>
    <t>CHADDSFORD WINERY LTD</t>
  </si>
  <si>
    <t>USA WINE IMPORTS</t>
  </si>
  <si>
    <t>MAISON JOMERE LTD</t>
  </si>
  <si>
    <t>NICE LEGS LLC</t>
  </si>
  <si>
    <t>SABLE RIDGE VINEYARD LLC</t>
  </si>
  <si>
    <t>SIMPLE THEORY LLC</t>
  </si>
  <si>
    <t>MEIOMI</t>
  </si>
  <si>
    <t>DREYFUS ASHBY INC</t>
  </si>
  <si>
    <t>A HARDY USA LTD</t>
  </si>
  <si>
    <t>KISOLY INTERNATIONAL CORPORATION</t>
  </si>
  <si>
    <t>NARCISSO WINE CELLAR LLC</t>
  </si>
  <si>
    <t>WHITE ROCK DISTILLERS INC</t>
  </si>
  <si>
    <t>BORVIN BEVERAGE</t>
  </si>
  <si>
    <t>SH BRAND, LLC</t>
  </si>
  <si>
    <t>VOLUBILIS IMPORTS INC</t>
  </si>
  <si>
    <t>G&amp;I SPIRIT GROUP USA IMPORTATION LLC</t>
  </si>
  <si>
    <t>GATOR RON'S LLC</t>
  </si>
  <si>
    <t>ONE EIGHT DISTILLING LLC</t>
  </si>
  <si>
    <t>URUGUAY IMPORTS LTD</t>
  </si>
  <si>
    <t>DCD ENTERPRISES LLC</t>
  </si>
  <si>
    <t>NOIR SUNSHINE WINERY</t>
  </si>
  <si>
    <t>G GAUTHIER CELLARS INC</t>
  </si>
  <si>
    <t>THE DOG BEVERAGE CO INC</t>
  </si>
  <si>
    <t>SUPPLIER NAME</t>
  </si>
  <si>
    <t>CUMULATIVE VOLUME</t>
  </si>
  <si>
    <t>SUPPLIER TIER</t>
  </si>
  <si>
    <t>TOTAL VOLUME</t>
  </si>
  <si>
    <t>ACTIVE SKU COUNT</t>
  </si>
  <si>
    <t>Estimated Annual Admin Cost Per Vendor</t>
  </si>
  <si>
    <t>Tier 2</t>
  </si>
  <si>
    <t>Tier 3</t>
  </si>
  <si>
    <t>Tier 1</t>
  </si>
  <si>
    <t>Vendor Count</t>
  </si>
  <si>
    <t>Total Volume</t>
  </si>
  <si>
    <t>% Of Total Volume</t>
  </si>
  <si>
    <t>Current Admin Overhead</t>
  </si>
  <si>
    <t>COST SAVINGS</t>
  </si>
  <si>
    <t>% OF TOTAL VOLUME SACRIFICED</t>
  </si>
  <si>
    <t>SUPPLIER CATEGORY</t>
  </si>
  <si>
    <t>VENDOR RATIONALIZTION</t>
  </si>
  <si>
    <t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</si>
</sst>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0" fontId="0" fillId="0" borderId="0" xfId="0" applyNumberFormat="1"/>
    <xf numFmtId="164" fontId="0" fillId="33" borderId="0" xfId="0" applyNumberFormat="1" applyFill="1"/>
    <xf numFmtId="164" fontId="0" fillId="0" borderId="0" xfId="1" applyNumberFormat="1" applyFont="1"/>
    <xf numFmtId="164" fontId="0" fillId="0" borderId="0" xfId="0" applyNumberFormat="1"/>
    <xf numFmtId="0" fontId="18" fillId="34" borderId="10" xfId="0" applyFont="1" applyFill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$-409]* #,##0.00_ ;_-[$$-409]* \-#,##0.00\ ;_-[$$-409]* &quot;-&quot;??_ ;_-@_ 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4DFCB-1F22-4800-8393-FB79A03758D5}" name="Table2" displayName="Table2" ref="A1:H539" totalsRowShown="0">
  <autoFilter ref="A1:H539" xr:uid="{04E4DFCB-1F22-4800-8393-FB79A03758D5}"/>
  <tableColumns count="8">
    <tableColumn id="1" xr3:uid="{42DC58A4-6379-49E4-94DC-4169742437FE}" name="Supplier_Name"/>
    <tableColumn id="2" xr3:uid="{BD9972A1-D2D3-42EB-9C27-5DF88C8B3101}" name="Active_SKU_Count"/>
    <tableColumn id="3" xr3:uid="{50FCD99B-1DDE-4149-BE0B-CB2C8850FF3D}" name="Total_Retail_Sales"/>
    <tableColumn id="4" xr3:uid="{92694839-9F59-40E8-A166-4F134EA59D83}" name="Total_Retail_Transfers"/>
    <tableColumn id="5" xr3:uid="{99511BED-EC59-46F3-B876-0964DB68807B}" name="Total_Warehouse_Sales"/>
    <tableColumn id="6" xr3:uid="{BA179867-2E9B-43A6-A5F8-6FBDD6CA29E5}" name="Gross_Outbound_Volume"/>
    <tableColumn id="7" xr3:uid="{79033275-5F3B-4DB3-A9CF-C5F68EF79625}" name="Cumulative_Volume_Pct"/>
    <tableColumn id="8" xr3:uid="{9B98921C-BF76-409D-B507-96F43D457BCF}" name="Vendor_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33ED9-7303-4E24-A2F8-90555D850A4A}" name="Table1" displayName="Table1" ref="A2:B6" totalsRowShown="0">
  <tableColumns count="2">
    <tableColumn id="1" xr3:uid="{108A851C-A791-4CA9-81D8-3253859B5283}" name="SUPPLIER NAME"/>
    <tableColumn id="2" xr3:uid="{62E5F92C-B13B-44BE-842D-43B976CE4488}" name="MILLER BREWING COMPAN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1F02E0-7A8D-4BA5-81B2-D96002C38EED}" name="Table5" displayName="Table5" ref="B4:F7" totalsRowShown="0">
  <autoFilter ref="B4:F7" xr:uid="{121F02E0-7A8D-4BA5-81B2-D96002C38EED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470D5C9-6CBD-43FF-B4E2-D19C128511EC}" name="SUPPLIER CATEGORY"/>
    <tableColumn id="2" xr3:uid="{A8224D2D-89E2-43C0-9005-E09FFD57F008}" name="Vendor Count"/>
    <tableColumn id="3" xr3:uid="{ADD68E50-CE77-4BA9-BE06-B2EB4242DC4E}" name="Total Volume"/>
    <tableColumn id="4" xr3:uid="{AC6CE6D8-9502-4A06-BEC9-D4DA39FEE946}" name="% Of Total Volume" dataDxfId="7">
      <calculatedColumnFormula>D5/SUM(Table2[Gross_Outbound_Volume])</calculatedColumnFormula>
    </tableColumn>
    <tableColumn id="5" xr3:uid="{F168C2AB-F1A6-4F71-B67D-E746DB7E2732}" name="Current Admin Overhead" dataDxfId="6" dataCellStyle="Currency">
      <calculatedColumnFormula>($C$2*C5)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602C2C-D154-4F64-B220-0B9D46591215}" name="Table7" displayName="Table7" ref="B9:C11" totalsRowShown="0" headerRowDxfId="5">
  <autoFilter ref="B9:C11" xr:uid="{8A602C2C-D154-4F64-B220-0B9D46591215}">
    <filterColumn colId="0" hiddenButton="1"/>
    <filterColumn colId="1" hiddenButton="1"/>
  </autoFilter>
  <tableColumns count="2">
    <tableColumn id="1" xr3:uid="{828FD674-9953-467D-A23F-8D592D9ED293}" name="VENDOR RATIONALIZTION"/>
    <tableColumn id="2" xr3:uid="{DBFAEDF7-4655-471C-A91F-A940F47E16CD}" name="BENEFIT">
      <calculatedColumnFormula>E6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799C-3F90-47F1-B3D8-08D2EDF79B53}">
  <dimension ref="A1:H539"/>
  <sheetViews>
    <sheetView zoomScale="80" zoomScaleNormal="80" workbookViewId="0">
      <selection activeCell="J16" sqref="J16"/>
    </sheetView>
  </sheetViews>
  <sheetFormatPr defaultRowHeight="14.4" x14ac:dyDescent="0.3"/>
  <cols>
    <col min="1" max="1" width="47.33203125" customWidth="1"/>
    <col min="2" max="2" width="22.5546875" customWidth="1"/>
    <col min="3" max="3" width="18.6640625" customWidth="1"/>
    <col min="4" max="4" width="22.109375" customWidth="1"/>
    <col min="5" max="5" width="28.33203125" customWidth="1"/>
    <col min="6" max="6" width="27.44140625" customWidth="1"/>
    <col min="7" max="7" width="29.33203125" customWidth="1"/>
    <col min="8" max="8" width="28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95</v>
      </c>
      <c r="C2">
        <v>94815.039999999994</v>
      </c>
      <c r="D2">
        <v>94741.26</v>
      </c>
      <c r="E2">
        <v>1917246.02</v>
      </c>
      <c r="F2">
        <v>2012061.06</v>
      </c>
      <c r="G2">
        <v>18.05</v>
      </c>
      <c r="H2" t="s">
        <v>9</v>
      </c>
    </row>
    <row r="3" spans="1:8" x14ac:dyDescent="0.3">
      <c r="A3" t="s">
        <v>10</v>
      </c>
      <c r="B3">
        <v>256</v>
      </c>
      <c r="C3">
        <v>93846.43</v>
      </c>
      <c r="D3">
        <v>92709.21</v>
      </c>
      <c r="E3">
        <v>1559556.74</v>
      </c>
      <c r="F3">
        <v>1653403.17</v>
      </c>
      <c r="G3">
        <v>32.880000000000003</v>
      </c>
      <c r="H3" t="s">
        <v>9</v>
      </c>
    </row>
    <row r="4" spans="1:8" x14ac:dyDescent="0.3">
      <c r="A4" t="s">
        <v>11</v>
      </c>
      <c r="B4">
        <v>551</v>
      </c>
      <c r="C4">
        <v>123465.71</v>
      </c>
      <c r="D4">
        <v>122971.92</v>
      </c>
      <c r="E4">
        <v>1467978.86</v>
      </c>
      <c r="F4">
        <v>1591444.57</v>
      </c>
      <c r="G4">
        <v>47.16</v>
      </c>
      <c r="H4" t="s">
        <v>9</v>
      </c>
    </row>
    <row r="5" spans="1:8" x14ac:dyDescent="0.3">
      <c r="A5" t="s">
        <v>12</v>
      </c>
      <c r="B5">
        <v>81</v>
      </c>
      <c r="C5">
        <v>60149.98</v>
      </c>
      <c r="D5">
        <v>59385.919999999998</v>
      </c>
      <c r="E5">
        <v>904228.32</v>
      </c>
      <c r="F5">
        <v>964378.3</v>
      </c>
      <c r="G5">
        <v>55.81</v>
      </c>
      <c r="H5" t="s">
        <v>9</v>
      </c>
    </row>
    <row r="6" spans="1:8" x14ac:dyDescent="0.3">
      <c r="A6" t="s">
        <v>13</v>
      </c>
      <c r="B6">
        <v>900</v>
      </c>
      <c r="C6">
        <v>185906.96</v>
      </c>
      <c r="D6">
        <v>186614.22</v>
      </c>
      <c r="E6">
        <v>235170.93</v>
      </c>
      <c r="F6">
        <v>421077.89</v>
      </c>
      <c r="G6">
        <v>59.59</v>
      </c>
      <c r="H6" t="s">
        <v>9</v>
      </c>
    </row>
    <row r="7" spans="1:8" x14ac:dyDescent="0.3">
      <c r="A7" t="s">
        <v>14</v>
      </c>
      <c r="B7">
        <v>629</v>
      </c>
      <c r="C7">
        <v>157635.19</v>
      </c>
      <c r="D7">
        <v>157277.04999999999</v>
      </c>
      <c r="E7">
        <v>195277.04</v>
      </c>
      <c r="F7">
        <v>352912.23</v>
      </c>
      <c r="G7">
        <v>62.76</v>
      </c>
      <c r="H7" t="s">
        <v>9</v>
      </c>
    </row>
    <row r="8" spans="1:8" x14ac:dyDescent="0.3">
      <c r="A8" t="s">
        <v>15</v>
      </c>
      <c r="B8">
        <v>261</v>
      </c>
      <c r="C8">
        <v>45570.71</v>
      </c>
      <c r="D8">
        <v>46624.959999999999</v>
      </c>
      <c r="E8">
        <v>224475.8</v>
      </c>
      <c r="F8">
        <v>270046.51</v>
      </c>
      <c r="G8">
        <v>65.180000000000007</v>
      </c>
      <c r="H8" t="s">
        <v>9</v>
      </c>
    </row>
    <row r="9" spans="1:8" x14ac:dyDescent="0.3">
      <c r="A9" t="s">
        <v>16</v>
      </c>
      <c r="B9">
        <v>405</v>
      </c>
      <c r="C9">
        <v>133265.60000000001</v>
      </c>
      <c r="D9">
        <v>131514.64000000001</v>
      </c>
      <c r="E9">
        <v>120666.1</v>
      </c>
      <c r="F9">
        <v>253931.7</v>
      </c>
      <c r="G9">
        <v>67.459999999999994</v>
      </c>
      <c r="H9" t="s">
        <v>9</v>
      </c>
    </row>
    <row r="10" spans="1:8" x14ac:dyDescent="0.3">
      <c r="A10" t="s">
        <v>17</v>
      </c>
      <c r="B10">
        <v>35</v>
      </c>
      <c r="C10">
        <v>24796.68</v>
      </c>
      <c r="D10">
        <v>24436.13</v>
      </c>
      <c r="E10">
        <v>143591.12</v>
      </c>
      <c r="F10">
        <v>168387.8</v>
      </c>
      <c r="G10">
        <v>68.97</v>
      </c>
      <c r="H10" t="s">
        <v>9</v>
      </c>
    </row>
    <row r="11" spans="1:8" x14ac:dyDescent="0.3">
      <c r="A11" t="s">
        <v>18</v>
      </c>
      <c r="B11">
        <v>144</v>
      </c>
      <c r="C11">
        <v>26358.55</v>
      </c>
      <c r="D11">
        <v>26001.38</v>
      </c>
      <c r="E11">
        <v>128292.5</v>
      </c>
      <c r="F11">
        <v>154651.04999999999</v>
      </c>
      <c r="G11">
        <v>70.36</v>
      </c>
      <c r="H11" t="s">
        <v>9</v>
      </c>
    </row>
    <row r="12" spans="1:8" x14ac:dyDescent="0.3">
      <c r="A12" t="s">
        <v>19</v>
      </c>
      <c r="B12">
        <v>326</v>
      </c>
      <c r="C12">
        <v>68470.12</v>
      </c>
      <c r="D12">
        <v>68531.78</v>
      </c>
      <c r="E12">
        <v>78667.740000000005</v>
      </c>
      <c r="F12">
        <v>147137.85999999999</v>
      </c>
      <c r="G12">
        <v>71.680000000000007</v>
      </c>
      <c r="H12" t="s">
        <v>9</v>
      </c>
    </row>
    <row r="13" spans="1:8" x14ac:dyDescent="0.3">
      <c r="A13" t="s">
        <v>20</v>
      </c>
      <c r="B13">
        <v>62</v>
      </c>
      <c r="C13">
        <v>10374.1</v>
      </c>
      <c r="D13">
        <v>10390.709999999999</v>
      </c>
      <c r="E13">
        <v>119902.1</v>
      </c>
      <c r="F13">
        <v>130276.2</v>
      </c>
      <c r="G13">
        <v>72.849999999999994</v>
      </c>
      <c r="H13" t="s">
        <v>9</v>
      </c>
    </row>
    <row r="14" spans="1:8" x14ac:dyDescent="0.3">
      <c r="A14" t="s">
        <v>21</v>
      </c>
      <c r="B14">
        <v>417</v>
      </c>
      <c r="C14">
        <v>102662.14</v>
      </c>
      <c r="D14">
        <v>102432.96000000001</v>
      </c>
      <c r="E14">
        <v>8991.4</v>
      </c>
      <c r="F14">
        <v>111653.54</v>
      </c>
      <c r="G14">
        <v>73.849999999999994</v>
      </c>
      <c r="H14" t="s">
        <v>9</v>
      </c>
    </row>
    <row r="15" spans="1:8" x14ac:dyDescent="0.3">
      <c r="A15" t="s">
        <v>22</v>
      </c>
      <c r="B15">
        <v>644</v>
      </c>
      <c r="C15">
        <v>85879.29</v>
      </c>
      <c r="D15">
        <v>85175.21</v>
      </c>
      <c r="E15">
        <v>25308.07</v>
      </c>
      <c r="F15">
        <v>111187.36</v>
      </c>
      <c r="G15">
        <v>74.849999999999994</v>
      </c>
      <c r="H15" t="s">
        <v>9</v>
      </c>
    </row>
    <row r="16" spans="1:8" x14ac:dyDescent="0.3">
      <c r="A16" t="s">
        <v>23</v>
      </c>
      <c r="B16">
        <v>3043</v>
      </c>
      <c r="C16">
        <v>9284.27</v>
      </c>
      <c r="D16">
        <v>9308.18</v>
      </c>
      <c r="E16">
        <v>98116.93</v>
      </c>
      <c r="F16">
        <v>107401.2</v>
      </c>
      <c r="G16">
        <v>75.81</v>
      </c>
      <c r="H16" t="s">
        <v>9</v>
      </c>
    </row>
    <row r="17" spans="1:8" x14ac:dyDescent="0.3">
      <c r="A17" t="s">
        <v>24</v>
      </c>
      <c r="B17">
        <v>151</v>
      </c>
      <c r="C17">
        <v>29876.98</v>
      </c>
      <c r="D17">
        <v>29968.799999999999</v>
      </c>
      <c r="E17">
        <v>71755.520000000004</v>
      </c>
      <c r="F17">
        <v>101632.5</v>
      </c>
      <c r="G17">
        <v>76.72</v>
      </c>
      <c r="H17" t="s">
        <v>9</v>
      </c>
    </row>
    <row r="18" spans="1:8" x14ac:dyDescent="0.3">
      <c r="A18" t="s">
        <v>25</v>
      </c>
      <c r="B18">
        <v>60</v>
      </c>
      <c r="C18">
        <v>12195.33</v>
      </c>
      <c r="D18">
        <v>13107</v>
      </c>
      <c r="E18">
        <v>83830.490000000005</v>
      </c>
      <c r="F18">
        <v>96025.82</v>
      </c>
      <c r="G18">
        <v>77.58</v>
      </c>
      <c r="H18" t="s">
        <v>9</v>
      </c>
    </row>
    <row r="19" spans="1:8" x14ac:dyDescent="0.3">
      <c r="A19" t="s">
        <v>26</v>
      </c>
      <c r="B19">
        <v>2538</v>
      </c>
      <c r="C19">
        <v>25640.71</v>
      </c>
      <c r="D19">
        <v>24244.02</v>
      </c>
      <c r="E19">
        <v>66497.100000000006</v>
      </c>
      <c r="F19">
        <v>92137.81</v>
      </c>
      <c r="G19">
        <v>78.41</v>
      </c>
      <c r="H19" t="s">
        <v>9</v>
      </c>
    </row>
    <row r="20" spans="1:8" x14ac:dyDescent="0.3">
      <c r="A20" t="s">
        <v>27</v>
      </c>
      <c r="B20">
        <v>120</v>
      </c>
      <c r="C20">
        <v>13268.96</v>
      </c>
      <c r="D20">
        <v>13455.96</v>
      </c>
      <c r="E20">
        <v>77516.73</v>
      </c>
      <c r="F20">
        <v>90785.69</v>
      </c>
      <c r="G20">
        <v>79.22</v>
      </c>
      <c r="H20" t="s">
        <v>9</v>
      </c>
    </row>
    <row r="21" spans="1:8" x14ac:dyDescent="0.3">
      <c r="A21" t="s">
        <v>28</v>
      </c>
      <c r="B21">
        <v>261</v>
      </c>
      <c r="C21">
        <v>73301.42</v>
      </c>
      <c r="D21">
        <v>73298.38</v>
      </c>
      <c r="E21">
        <v>11513.74</v>
      </c>
      <c r="F21">
        <v>84815.16</v>
      </c>
      <c r="G21">
        <v>79.98</v>
      </c>
      <c r="H21" t="s">
        <v>9</v>
      </c>
    </row>
    <row r="22" spans="1:8" x14ac:dyDescent="0.3">
      <c r="A22" t="s">
        <v>29</v>
      </c>
      <c r="B22">
        <v>1966</v>
      </c>
      <c r="C22">
        <v>36100.870000000003</v>
      </c>
      <c r="D22">
        <v>36277.440000000002</v>
      </c>
      <c r="E22">
        <v>46851.45</v>
      </c>
      <c r="F22">
        <v>82952.320000000007</v>
      </c>
      <c r="G22">
        <v>80.73</v>
      </c>
      <c r="H22" t="s">
        <v>30</v>
      </c>
    </row>
    <row r="23" spans="1:8" x14ac:dyDescent="0.3">
      <c r="A23" t="s">
        <v>31</v>
      </c>
      <c r="B23">
        <v>169</v>
      </c>
      <c r="C23">
        <v>39966.75</v>
      </c>
      <c r="D23">
        <v>40362.15</v>
      </c>
      <c r="E23">
        <v>40202.980000000003</v>
      </c>
      <c r="F23">
        <v>80169.73</v>
      </c>
      <c r="G23">
        <v>81.45</v>
      </c>
      <c r="H23" t="s">
        <v>30</v>
      </c>
    </row>
    <row r="24" spans="1:8" x14ac:dyDescent="0.3">
      <c r="A24" t="s">
        <v>32</v>
      </c>
      <c r="B24">
        <v>405</v>
      </c>
      <c r="C24">
        <v>61415.93</v>
      </c>
      <c r="D24">
        <v>61359.58</v>
      </c>
      <c r="E24">
        <v>11425.1</v>
      </c>
      <c r="F24">
        <v>72841.03</v>
      </c>
      <c r="G24">
        <v>82.1</v>
      </c>
      <c r="H24" t="s">
        <v>30</v>
      </c>
    </row>
    <row r="25" spans="1:8" x14ac:dyDescent="0.3">
      <c r="A25" t="s">
        <v>33</v>
      </c>
      <c r="B25">
        <v>289</v>
      </c>
      <c r="C25">
        <v>36828.15</v>
      </c>
      <c r="D25">
        <v>35757.19</v>
      </c>
      <c r="E25">
        <v>33520.120000000003</v>
      </c>
      <c r="F25">
        <v>70348.27</v>
      </c>
      <c r="G25">
        <v>82.73</v>
      </c>
      <c r="H25" t="s">
        <v>30</v>
      </c>
    </row>
    <row r="26" spans="1:8" x14ac:dyDescent="0.3">
      <c r="A26" t="s">
        <v>34</v>
      </c>
      <c r="B26">
        <v>208</v>
      </c>
      <c r="C26">
        <v>54159.73</v>
      </c>
      <c r="D26">
        <v>53831.09</v>
      </c>
      <c r="E26">
        <v>13916.36</v>
      </c>
      <c r="F26">
        <v>68076.09</v>
      </c>
      <c r="G26">
        <v>83.34</v>
      </c>
      <c r="H26" t="s">
        <v>30</v>
      </c>
    </row>
    <row r="27" spans="1:8" x14ac:dyDescent="0.3">
      <c r="A27" t="s">
        <v>35</v>
      </c>
      <c r="B27">
        <v>243</v>
      </c>
      <c r="C27">
        <v>59033.55</v>
      </c>
      <c r="D27">
        <v>59599.839999999997</v>
      </c>
      <c r="E27">
        <v>8497.18</v>
      </c>
      <c r="F27">
        <v>67530.73</v>
      </c>
      <c r="G27">
        <v>83.95</v>
      </c>
      <c r="H27" t="s">
        <v>30</v>
      </c>
    </row>
    <row r="28" spans="1:8" x14ac:dyDescent="0.3">
      <c r="A28" t="s">
        <v>36</v>
      </c>
      <c r="B28">
        <v>125</v>
      </c>
      <c r="C28">
        <v>41070.870000000003</v>
      </c>
      <c r="D28">
        <v>42584.06</v>
      </c>
      <c r="E28">
        <v>26295.39</v>
      </c>
      <c r="F28">
        <v>67366.259999999995</v>
      </c>
      <c r="G28">
        <v>84.55</v>
      </c>
      <c r="H28" t="s">
        <v>30</v>
      </c>
    </row>
    <row r="29" spans="1:8" x14ac:dyDescent="0.3">
      <c r="A29" t="s">
        <v>37</v>
      </c>
      <c r="B29">
        <v>90</v>
      </c>
      <c r="C29">
        <v>31031.53</v>
      </c>
      <c r="D29">
        <v>31176.89</v>
      </c>
      <c r="E29">
        <v>35224.120000000003</v>
      </c>
      <c r="F29">
        <v>66255.649999999994</v>
      </c>
      <c r="G29">
        <v>85.15</v>
      </c>
      <c r="H29" t="s">
        <v>30</v>
      </c>
    </row>
    <row r="30" spans="1:8" x14ac:dyDescent="0.3">
      <c r="A30" t="s">
        <v>38</v>
      </c>
      <c r="B30">
        <v>2380</v>
      </c>
      <c r="C30">
        <v>7730.26</v>
      </c>
      <c r="D30">
        <v>7917.14</v>
      </c>
      <c r="E30">
        <v>46036.65</v>
      </c>
      <c r="F30">
        <v>53766.91</v>
      </c>
      <c r="G30">
        <v>85.63</v>
      </c>
      <c r="H30" t="s">
        <v>30</v>
      </c>
    </row>
    <row r="31" spans="1:8" x14ac:dyDescent="0.3">
      <c r="A31" t="s">
        <v>39</v>
      </c>
      <c r="B31">
        <v>299</v>
      </c>
      <c r="C31">
        <v>9133.57</v>
      </c>
      <c r="D31">
        <v>9063.7099999999991</v>
      </c>
      <c r="E31">
        <v>41485.81</v>
      </c>
      <c r="F31">
        <v>50619.38</v>
      </c>
      <c r="G31">
        <v>86.08</v>
      </c>
      <c r="H31" t="s">
        <v>30</v>
      </c>
    </row>
    <row r="32" spans="1:8" x14ac:dyDescent="0.3">
      <c r="A32" t="s">
        <v>40</v>
      </c>
      <c r="B32">
        <v>7</v>
      </c>
      <c r="C32">
        <v>42628.73</v>
      </c>
      <c r="D32">
        <v>43201.72</v>
      </c>
      <c r="E32">
        <v>7018.59</v>
      </c>
      <c r="F32">
        <v>49647.32</v>
      </c>
      <c r="G32">
        <v>86.53</v>
      </c>
      <c r="H32" t="s">
        <v>30</v>
      </c>
    </row>
    <row r="33" spans="1:8" x14ac:dyDescent="0.3">
      <c r="A33" t="s">
        <v>41</v>
      </c>
      <c r="B33">
        <v>83</v>
      </c>
      <c r="C33">
        <v>9747.5400000000009</v>
      </c>
      <c r="D33">
        <v>9911.58</v>
      </c>
      <c r="E33">
        <v>38835.54</v>
      </c>
      <c r="F33">
        <v>48583.08</v>
      </c>
      <c r="G33">
        <v>86.97</v>
      </c>
      <c r="H33" t="s">
        <v>30</v>
      </c>
    </row>
    <row r="34" spans="1:8" x14ac:dyDescent="0.3">
      <c r="A34" t="s">
        <v>42</v>
      </c>
      <c r="B34">
        <v>78</v>
      </c>
      <c r="C34">
        <v>9983.15</v>
      </c>
      <c r="D34">
        <v>9889.67</v>
      </c>
      <c r="E34">
        <v>37899.14</v>
      </c>
      <c r="F34">
        <v>47882.29</v>
      </c>
      <c r="G34">
        <v>87.4</v>
      </c>
      <c r="H34" t="s">
        <v>30</v>
      </c>
    </row>
    <row r="35" spans="1:8" x14ac:dyDescent="0.3">
      <c r="A35" t="s">
        <v>43</v>
      </c>
      <c r="B35">
        <v>2001</v>
      </c>
      <c r="C35">
        <v>9482.8700000000008</v>
      </c>
      <c r="D35">
        <v>8238.2900000000009</v>
      </c>
      <c r="E35">
        <v>35241.97</v>
      </c>
      <c r="F35">
        <v>44724.84</v>
      </c>
      <c r="G35">
        <v>87.8</v>
      </c>
      <c r="H35" t="s">
        <v>30</v>
      </c>
    </row>
    <row r="36" spans="1:8" x14ac:dyDescent="0.3">
      <c r="A36" t="s">
        <v>44</v>
      </c>
      <c r="B36">
        <v>166</v>
      </c>
      <c r="C36">
        <v>36308.04</v>
      </c>
      <c r="D36">
        <v>36489.07</v>
      </c>
      <c r="E36">
        <v>1994.82</v>
      </c>
      <c r="F36">
        <v>38302.86</v>
      </c>
      <c r="G36">
        <v>88.14</v>
      </c>
      <c r="H36" t="s">
        <v>30</v>
      </c>
    </row>
    <row r="37" spans="1:8" x14ac:dyDescent="0.3">
      <c r="A37" t="s">
        <v>45</v>
      </c>
      <c r="B37">
        <v>982</v>
      </c>
      <c r="C37">
        <v>20275.11</v>
      </c>
      <c r="D37">
        <v>18927.03</v>
      </c>
      <c r="E37">
        <v>17948.22</v>
      </c>
      <c r="F37">
        <v>38223.33</v>
      </c>
      <c r="G37">
        <v>88.48</v>
      </c>
      <c r="H37" t="s">
        <v>30</v>
      </c>
    </row>
    <row r="38" spans="1:8" x14ac:dyDescent="0.3">
      <c r="A38" t="s">
        <v>46</v>
      </c>
      <c r="B38">
        <v>65</v>
      </c>
      <c r="C38">
        <v>20284.5</v>
      </c>
      <c r="D38">
        <v>20141.22</v>
      </c>
      <c r="E38">
        <v>17013.97</v>
      </c>
      <c r="F38">
        <v>37298.47</v>
      </c>
      <c r="G38">
        <v>88.82</v>
      </c>
      <c r="H38" t="s">
        <v>30</v>
      </c>
    </row>
    <row r="39" spans="1:8" x14ac:dyDescent="0.3">
      <c r="A39" t="s">
        <v>47</v>
      </c>
      <c r="B39">
        <v>53</v>
      </c>
      <c r="C39">
        <v>15134.8</v>
      </c>
      <c r="D39">
        <v>15160</v>
      </c>
      <c r="E39">
        <v>22124.87</v>
      </c>
      <c r="F39">
        <v>37259.67</v>
      </c>
      <c r="G39">
        <v>89.15</v>
      </c>
      <c r="H39" t="s">
        <v>30</v>
      </c>
    </row>
    <row r="40" spans="1:8" x14ac:dyDescent="0.3">
      <c r="A40" t="s">
        <v>48</v>
      </c>
      <c r="B40">
        <v>133</v>
      </c>
      <c r="C40">
        <v>31830.39</v>
      </c>
      <c r="D40">
        <v>31803.34</v>
      </c>
      <c r="E40">
        <v>2516.33</v>
      </c>
      <c r="F40">
        <v>34346.720000000001</v>
      </c>
      <c r="G40">
        <v>89.46</v>
      </c>
      <c r="H40" t="s">
        <v>30</v>
      </c>
    </row>
    <row r="41" spans="1:8" x14ac:dyDescent="0.3">
      <c r="A41" t="s">
        <v>49</v>
      </c>
      <c r="B41">
        <v>179</v>
      </c>
      <c r="C41">
        <v>26108.29</v>
      </c>
      <c r="D41">
        <v>26004.53</v>
      </c>
      <c r="E41">
        <v>8086.59</v>
      </c>
      <c r="F41">
        <v>34194.879999999997</v>
      </c>
      <c r="G41">
        <v>89.77</v>
      </c>
      <c r="H41" t="s">
        <v>30</v>
      </c>
    </row>
    <row r="42" spans="1:8" x14ac:dyDescent="0.3">
      <c r="A42" t="s">
        <v>50</v>
      </c>
      <c r="B42">
        <v>155</v>
      </c>
      <c r="C42">
        <v>29306.47</v>
      </c>
      <c r="D42">
        <v>29455.47</v>
      </c>
      <c r="E42">
        <v>3247.75</v>
      </c>
      <c r="F42">
        <v>32554.22</v>
      </c>
      <c r="G42">
        <v>90.06</v>
      </c>
      <c r="H42" t="s">
        <v>30</v>
      </c>
    </row>
    <row r="43" spans="1:8" x14ac:dyDescent="0.3">
      <c r="A43" t="s">
        <v>51</v>
      </c>
      <c r="B43">
        <v>67</v>
      </c>
      <c r="C43">
        <v>5724.15</v>
      </c>
      <c r="D43">
        <v>5811.46</v>
      </c>
      <c r="E43">
        <v>25820.240000000002</v>
      </c>
      <c r="F43">
        <v>31544.39</v>
      </c>
      <c r="G43">
        <v>90.34</v>
      </c>
      <c r="H43" t="s">
        <v>30</v>
      </c>
    </row>
    <row r="44" spans="1:8" x14ac:dyDescent="0.3">
      <c r="A44" t="s">
        <v>52</v>
      </c>
      <c r="B44">
        <v>89</v>
      </c>
      <c r="C44">
        <v>6251.15</v>
      </c>
      <c r="D44">
        <v>6359.08</v>
      </c>
      <c r="E44">
        <v>24599.05</v>
      </c>
      <c r="F44">
        <v>30850.2</v>
      </c>
      <c r="G44">
        <v>90.62</v>
      </c>
      <c r="H44" t="s">
        <v>30</v>
      </c>
    </row>
    <row r="45" spans="1:8" x14ac:dyDescent="0.3">
      <c r="A45" t="s">
        <v>53</v>
      </c>
      <c r="B45">
        <v>1706</v>
      </c>
      <c r="C45">
        <v>5028.09</v>
      </c>
      <c r="D45">
        <v>4880.78</v>
      </c>
      <c r="E45">
        <v>25657.13</v>
      </c>
      <c r="F45">
        <v>30685.22</v>
      </c>
      <c r="G45">
        <v>90.89</v>
      </c>
      <c r="H45" t="s">
        <v>30</v>
      </c>
    </row>
    <row r="46" spans="1:8" x14ac:dyDescent="0.3">
      <c r="A46" t="s">
        <v>54</v>
      </c>
      <c r="B46">
        <v>99</v>
      </c>
      <c r="C46">
        <v>6346.67</v>
      </c>
      <c r="D46">
        <v>6409.34</v>
      </c>
      <c r="E46">
        <v>23338.99</v>
      </c>
      <c r="F46">
        <v>29685.66</v>
      </c>
      <c r="G46">
        <v>91.16</v>
      </c>
      <c r="H46" t="s">
        <v>30</v>
      </c>
    </row>
    <row r="47" spans="1:8" x14ac:dyDescent="0.3">
      <c r="A47" t="s">
        <v>55</v>
      </c>
      <c r="B47">
        <v>1079</v>
      </c>
      <c r="C47">
        <v>8859.6</v>
      </c>
      <c r="D47">
        <v>8225.07</v>
      </c>
      <c r="E47">
        <v>19291.75</v>
      </c>
      <c r="F47">
        <v>28151.35</v>
      </c>
      <c r="G47">
        <v>91.41</v>
      </c>
      <c r="H47" t="s">
        <v>30</v>
      </c>
    </row>
    <row r="48" spans="1:8" x14ac:dyDescent="0.3">
      <c r="A48" t="s">
        <v>56</v>
      </c>
      <c r="B48">
        <v>929</v>
      </c>
      <c r="C48">
        <v>5009.62</v>
      </c>
      <c r="D48">
        <v>4650.68</v>
      </c>
      <c r="E48">
        <v>22049.68</v>
      </c>
      <c r="F48">
        <v>27059.3</v>
      </c>
      <c r="G48">
        <v>91.66</v>
      </c>
      <c r="H48" t="s">
        <v>30</v>
      </c>
    </row>
    <row r="49" spans="1:8" x14ac:dyDescent="0.3">
      <c r="A49" t="s">
        <v>57</v>
      </c>
      <c r="B49">
        <v>36</v>
      </c>
      <c r="C49">
        <v>4831.6499999999996</v>
      </c>
      <c r="D49">
        <v>4834.5</v>
      </c>
      <c r="E49">
        <v>21136.33</v>
      </c>
      <c r="F49">
        <v>25967.98</v>
      </c>
      <c r="G49">
        <v>91.89</v>
      </c>
      <c r="H49" t="s">
        <v>30</v>
      </c>
    </row>
    <row r="50" spans="1:8" x14ac:dyDescent="0.3">
      <c r="A50" t="s">
        <v>58</v>
      </c>
      <c r="B50">
        <v>605</v>
      </c>
      <c r="C50">
        <v>6693.9</v>
      </c>
      <c r="D50">
        <v>6510.18</v>
      </c>
      <c r="E50">
        <v>16946.419999999998</v>
      </c>
      <c r="F50">
        <v>23640.32</v>
      </c>
      <c r="G50">
        <v>92.1</v>
      </c>
      <c r="H50" t="s">
        <v>30</v>
      </c>
    </row>
    <row r="51" spans="1:8" x14ac:dyDescent="0.3">
      <c r="A51" t="s">
        <v>59</v>
      </c>
      <c r="B51">
        <v>35</v>
      </c>
      <c r="C51">
        <v>8767.08</v>
      </c>
      <c r="D51">
        <v>8603.67</v>
      </c>
      <c r="E51">
        <v>11316.27</v>
      </c>
      <c r="F51">
        <v>20083.349999999999</v>
      </c>
      <c r="G51">
        <v>92.28</v>
      </c>
      <c r="H51" t="s">
        <v>30</v>
      </c>
    </row>
    <row r="52" spans="1:8" x14ac:dyDescent="0.3">
      <c r="A52" t="s">
        <v>60</v>
      </c>
      <c r="B52">
        <v>78</v>
      </c>
      <c r="C52">
        <v>3021.75</v>
      </c>
      <c r="D52">
        <v>3189.25</v>
      </c>
      <c r="E52">
        <v>16731.169999999998</v>
      </c>
      <c r="F52">
        <v>19752.919999999998</v>
      </c>
      <c r="G52">
        <v>92.46</v>
      </c>
      <c r="H52" t="s">
        <v>30</v>
      </c>
    </row>
    <row r="53" spans="1:8" x14ac:dyDescent="0.3">
      <c r="A53" t="s">
        <v>61</v>
      </c>
      <c r="B53">
        <v>989</v>
      </c>
      <c r="C53">
        <v>3084.45</v>
      </c>
      <c r="D53">
        <v>3063.82</v>
      </c>
      <c r="E53">
        <v>16255.87</v>
      </c>
      <c r="F53">
        <v>19340.32</v>
      </c>
      <c r="G53">
        <v>92.63</v>
      </c>
      <c r="H53" t="s">
        <v>30</v>
      </c>
    </row>
    <row r="54" spans="1:8" x14ac:dyDescent="0.3">
      <c r="A54" t="s">
        <v>62</v>
      </c>
      <c r="B54">
        <v>830</v>
      </c>
      <c r="C54">
        <v>1984.32</v>
      </c>
      <c r="D54">
        <v>1926.58</v>
      </c>
      <c r="E54">
        <v>16505.96</v>
      </c>
      <c r="F54">
        <v>18490.28</v>
      </c>
      <c r="G54">
        <v>92.8</v>
      </c>
      <c r="H54" t="s">
        <v>30</v>
      </c>
    </row>
    <row r="55" spans="1:8" x14ac:dyDescent="0.3">
      <c r="A55" t="s">
        <v>63</v>
      </c>
      <c r="B55">
        <v>21</v>
      </c>
      <c r="C55">
        <v>4779.9399999999996</v>
      </c>
      <c r="D55">
        <v>5480.54</v>
      </c>
      <c r="E55">
        <v>12940.19</v>
      </c>
      <c r="F55">
        <v>17720.13</v>
      </c>
      <c r="G55">
        <v>92.96</v>
      </c>
      <c r="H55" t="s">
        <v>30</v>
      </c>
    </row>
    <row r="56" spans="1:8" x14ac:dyDescent="0.3">
      <c r="A56" t="s">
        <v>64</v>
      </c>
      <c r="B56">
        <v>33</v>
      </c>
      <c r="C56">
        <v>7276.12</v>
      </c>
      <c r="D56">
        <v>7402.34</v>
      </c>
      <c r="E56">
        <v>9658.0499999999993</v>
      </c>
      <c r="F56">
        <v>16934.169999999998</v>
      </c>
      <c r="G56">
        <v>93.11</v>
      </c>
      <c r="H56" t="s">
        <v>30</v>
      </c>
    </row>
    <row r="57" spans="1:8" x14ac:dyDescent="0.3">
      <c r="A57" t="s">
        <v>65</v>
      </c>
      <c r="B57">
        <v>637</v>
      </c>
      <c r="C57">
        <v>4508.6899999999996</v>
      </c>
      <c r="D57">
        <v>4292.91</v>
      </c>
      <c r="E57">
        <v>12135.22</v>
      </c>
      <c r="F57">
        <v>16643.91</v>
      </c>
      <c r="G57">
        <v>93.26</v>
      </c>
      <c r="H57" t="s">
        <v>30</v>
      </c>
    </row>
    <row r="58" spans="1:8" x14ac:dyDescent="0.3">
      <c r="A58" t="s">
        <v>66</v>
      </c>
      <c r="B58">
        <v>1208</v>
      </c>
      <c r="C58">
        <v>6237.73</v>
      </c>
      <c r="D58">
        <v>6575.58</v>
      </c>
      <c r="E58">
        <v>9163.2099999999991</v>
      </c>
      <c r="F58">
        <v>15400.94</v>
      </c>
      <c r="G58">
        <v>93.4</v>
      </c>
      <c r="H58" t="s">
        <v>30</v>
      </c>
    </row>
    <row r="59" spans="1:8" x14ac:dyDescent="0.3">
      <c r="A59" t="s">
        <v>67</v>
      </c>
      <c r="B59">
        <v>608</v>
      </c>
      <c r="C59">
        <v>1432.77</v>
      </c>
      <c r="D59">
        <v>1343.87</v>
      </c>
      <c r="E59">
        <v>13601.5</v>
      </c>
      <c r="F59">
        <v>15034.27</v>
      </c>
      <c r="G59">
        <v>93.53</v>
      </c>
      <c r="H59" t="s">
        <v>30</v>
      </c>
    </row>
    <row r="60" spans="1:8" x14ac:dyDescent="0.3">
      <c r="A60" t="s">
        <v>68</v>
      </c>
      <c r="B60">
        <v>234</v>
      </c>
      <c r="C60">
        <v>6508.01</v>
      </c>
      <c r="D60">
        <v>6982.51</v>
      </c>
      <c r="E60">
        <v>7890.42</v>
      </c>
      <c r="F60">
        <v>14398.43</v>
      </c>
      <c r="G60">
        <v>93.66</v>
      </c>
      <c r="H60" t="s">
        <v>30</v>
      </c>
    </row>
    <row r="61" spans="1:8" x14ac:dyDescent="0.3">
      <c r="A61" t="s">
        <v>69</v>
      </c>
      <c r="B61">
        <v>76</v>
      </c>
      <c r="C61">
        <v>8596.9</v>
      </c>
      <c r="D61">
        <v>8293.7999999999993</v>
      </c>
      <c r="E61">
        <v>5664.25</v>
      </c>
      <c r="F61">
        <v>14261.15</v>
      </c>
      <c r="G61">
        <v>93.79</v>
      </c>
      <c r="H61" t="s">
        <v>30</v>
      </c>
    </row>
    <row r="62" spans="1:8" x14ac:dyDescent="0.3">
      <c r="A62" t="s">
        <v>70</v>
      </c>
      <c r="B62">
        <v>581</v>
      </c>
      <c r="C62">
        <v>472.15</v>
      </c>
      <c r="D62">
        <v>486.36</v>
      </c>
      <c r="E62">
        <v>13221.77</v>
      </c>
      <c r="F62">
        <v>13693.92</v>
      </c>
      <c r="G62">
        <v>93.91</v>
      </c>
      <c r="H62" t="s">
        <v>30</v>
      </c>
    </row>
    <row r="63" spans="1:8" x14ac:dyDescent="0.3">
      <c r="A63" t="s">
        <v>71</v>
      </c>
      <c r="B63">
        <v>41</v>
      </c>
      <c r="C63">
        <v>7171.7</v>
      </c>
      <c r="D63">
        <v>7218.6</v>
      </c>
      <c r="E63">
        <v>6315.43</v>
      </c>
      <c r="F63">
        <v>13487.13</v>
      </c>
      <c r="G63">
        <v>94.03</v>
      </c>
      <c r="H63" t="s">
        <v>30</v>
      </c>
    </row>
    <row r="64" spans="1:8" x14ac:dyDescent="0.3">
      <c r="A64" t="s">
        <v>72</v>
      </c>
      <c r="B64">
        <v>571</v>
      </c>
      <c r="C64">
        <v>815.89</v>
      </c>
      <c r="D64">
        <v>861.24</v>
      </c>
      <c r="E64">
        <v>12536.61</v>
      </c>
      <c r="F64">
        <v>13352.5</v>
      </c>
      <c r="G64">
        <v>94.15</v>
      </c>
      <c r="H64" t="s">
        <v>30</v>
      </c>
    </row>
    <row r="65" spans="1:8" x14ac:dyDescent="0.3">
      <c r="A65" t="s">
        <v>73</v>
      </c>
      <c r="B65">
        <v>137</v>
      </c>
      <c r="C65">
        <v>5678.84</v>
      </c>
      <c r="D65">
        <v>5747.92</v>
      </c>
      <c r="E65">
        <v>7441.95</v>
      </c>
      <c r="F65">
        <v>13120.79</v>
      </c>
      <c r="G65">
        <v>94.27</v>
      </c>
      <c r="H65" t="s">
        <v>30</v>
      </c>
    </row>
    <row r="66" spans="1:8" x14ac:dyDescent="0.3">
      <c r="A66" t="s">
        <v>74</v>
      </c>
      <c r="B66">
        <v>546</v>
      </c>
      <c r="C66">
        <v>750.05</v>
      </c>
      <c r="D66">
        <v>750.29</v>
      </c>
      <c r="E66">
        <v>11725.44</v>
      </c>
      <c r="F66">
        <v>12475.49</v>
      </c>
      <c r="G66">
        <v>94.38</v>
      </c>
      <c r="H66" t="s">
        <v>30</v>
      </c>
    </row>
    <row r="67" spans="1:8" x14ac:dyDescent="0.3">
      <c r="A67" t="s">
        <v>75</v>
      </c>
      <c r="B67">
        <v>111</v>
      </c>
      <c r="C67">
        <v>3253.81</v>
      </c>
      <c r="D67">
        <v>3158.64</v>
      </c>
      <c r="E67">
        <v>8967.74</v>
      </c>
      <c r="F67">
        <v>12221.55</v>
      </c>
      <c r="G67">
        <v>94.49</v>
      </c>
      <c r="H67" t="s">
        <v>30</v>
      </c>
    </row>
    <row r="68" spans="1:8" x14ac:dyDescent="0.3">
      <c r="A68" t="s">
        <v>76</v>
      </c>
      <c r="B68">
        <v>53</v>
      </c>
      <c r="C68">
        <v>9275.25</v>
      </c>
      <c r="D68">
        <v>9170.73</v>
      </c>
      <c r="E68">
        <v>2867.92</v>
      </c>
      <c r="F68">
        <v>12143.17</v>
      </c>
      <c r="G68">
        <v>94.6</v>
      </c>
      <c r="H68" t="s">
        <v>30</v>
      </c>
    </row>
    <row r="69" spans="1:8" x14ac:dyDescent="0.3">
      <c r="A69" t="s">
        <v>77</v>
      </c>
      <c r="B69">
        <v>53</v>
      </c>
      <c r="C69">
        <v>7914.94</v>
      </c>
      <c r="D69">
        <v>8112.41</v>
      </c>
      <c r="E69">
        <v>4198.78</v>
      </c>
      <c r="F69">
        <v>12113.72</v>
      </c>
      <c r="G69">
        <v>94.71</v>
      </c>
      <c r="H69" t="s">
        <v>30</v>
      </c>
    </row>
    <row r="70" spans="1:8" x14ac:dyDescent="0.3">
      <c r="A70" t="s">
        <v>78</v>
      </c>
      <c r="B70">
        <v>773</v>
      </c>
      <c r="C70">
        <v>2378.84</v>
      </c>
      <c r="D70">
        <v>2655.7</v>
      </c>
      <c r="E70">
        <v>9668.6</v>
      </c>
      <c r="F70">
        <v>12047.44</v>
      </c>
      <c r="G70">
        <v>94.82</v>
      </c>
      <c r="H70" t="s">
        <v>30</v>
      </c>
    </row>
    <row r="71" spans="1:8" x14ac:dyDescent="0.3">
      <c r="A71" t="s">
        <v>79</v>
      </c>
      <c r="B71">
        <v>821</v>
      </c>
      <c r="C71">
        <v>705.7</v>
      </c>
      <c r="D71">
        <v>689.44</v>
      </c>
      <c r="E71">
        <v>10974.87</v>
      </c>
      <c r="F71">
        <v>11680.57</v>
      </c>
      <c r="G71">
        <v>94.92</v>
      </c>
      <c r="H71" t="s">
        <v>30</v>
      </c>
    </row>
    <row r="72" spans="1:8" x14ac:dyDescent="0.3">
      <c r="A72" t="s">
        <v>80</v>
      </c>
      <c r="B72">
        <v>87</v>
      </c>
      <c r="C72">
        <v>7568.9</v>
      </c>
      <c r="D72">
        <v>7431.83</v>
      </c>
      <c r="E72">
        <v>3956.59</v>
      </c>
      <c r="F72">
        <v>11525.49</v>
      </c>
      <c r="G72">
        <v>95.02</v>
      </c>
      <c r="H72" t="s">
        <v>81</v>
      </c>
    </row>
    <row r="73" spans="1:8" x14ac:dyDescent="0.3">
      <c r="A73" t="s">
        <v>82</v>
      </c>
      <c r="B73">
        <v>164</v>
      </c>
      <c r="C73">
        <v>1101.6500000000001</v>
      </c>
      <c r="D73">
        <v>1022.22</v>
      </c>
      <c r="E73">
        <v>10403.86</v>
      </c>
      <c r="F73">
        <v>11505.51</v>
      </c>
      <c r="G73">
        <v>95.13</v>
      </c>
      <c r="H73" t="s">
        <v>81</v>
      </c>
    </row>
    <row r="74" spans="1:8" x14ac:dyDescent="0.3">
      <c r="A74" t="s">
        <v>83</v>
      </c>
      <c r="B74">
        <v>59</v>
      </c>
      <c r="C74">
        <v>10173.86</v>
      </c>
      <c r="D74">
        <v>10217.98</v>
      </c>
      <c r="E74">
        <v>887.84</v>
      </c>
      <c r="F74">
        <v>11061.7</v>
      </c>
      <c r="G74">
        <v>95.23</v>
      </c>
      <c r="H74" t="s">
        <v>81</v>
      </c>
    </row>
    <row r="75" spans="1:8" x14ac:dyDescent="0.3">
      <c r="A75" t="s">
        <v>84</v>
      </c>
      <c r="B75">
        <v>142</v>
      </c>
      <c r="C75">
        <v>0</v>
      </c>
      <c r="D75">
        <v>0</v>
      </c>
      <c r="E75">
        <v>10970.67</v>
      </c>
      <c r="F75">
        <v>10970.67</v>
      </c>
      <c r="G75">
        <v>95.33</v>
      </c>
      <c r="H75" t="s">
        <v>81</v>
      </c>
    </row>
    <row r="76" spans="1:8" x14ac:dyDescent="0.3">
      <c r="A76" t="s">
        <v>85</v>
      </c>
      <c r="B76">
        <v>27</v>
      </c>
      <c r="C76">
        <v>6559.3</v>
      </c>
      <c r="D76">
        <v>6624.42</v>
      </c>
      <c r="E76">
        <v>4228.25</v>
      </c>
      <c r="F76">
        <v>10787.55</v>
      </c>
      <c r="G76">
        <v>95.42</v>
      </c>
      <c r="H76" t="s">
        <v>81</v>
      </c>
    </row>
    <row r="77" spans="1:8" x14ac:dyDescent="0.3">
      <c r="A77" t="s">
        <v>86</v>
      </c>
      <c r="B77">
        <v>158</v>
      </c>
      <c r="C77">
        <v>3389.14</v>
      </c>
      <c r="D77">
        <v>3310.79</v>
      </c>
      <c r="E77">
        <v>7090.95</v>
      </c>
      <c r="F77">
        <v>10480.09</v>
      </c>
      <c r="G77">
        <v>95.52</v>
      </c>
      <c r="H77" t="s">
        <v>81</v>
      </c>
    </row>
    <row r="78" spans="1:8" x14ac:dyDescent="0.3">
      <c r="A78" t="s">
        <v>87</v>
      </c>
      <c r="B78">
        <v>17</v>
      </c>
      <c r="C78">
        <v>1789.2</v>
      </c>
      <c r="D78">
        <v>1802.75</v>
      </c>
      <c r="E78">
        <v>8678.17</v>
      </c>
      <c r="F78">
        <v>10467.370000000001</v>
      </c>
      <c r="G78">
        <v>95.61</v>
      </c>
      <c r="H78" t="s">
        <v>81</v>
      </c>
    </row>
    <row r="79" spans="1:8" x14ac:dyDescent="0.3">
      <c r="A79" t="s">
        <v>88</v>
      </c>
      <c r="B79">
        <v>172</v>
      </c>
      <c r="C79">
        <v>1335.33</v>
      </c>
      <c r="D79">
        <v>1413</v>
      </c>
      <c r="E79">
        <v>8850.2900000000009</v>
      </c>
      <c r="F79">
        <v>10185.620000000001</v>
      </c>
      <c r="G79">
        <v>95.7</v>
      </c>
      <c r="H79" t="s">
        <v>81</v>
      </c>
    </row>
    <row r="80" spans="1:8" x14ac:dyDescent="0.3">
      <c r="A80" t="s">
        <v>89</v>
      </c>
      <c r="B80">
        <v>390</v>
      </c>
      <c r="C80">
        <v>2244.04</v>
      </c>
      <c r="D80">
        <v>2353.79</v>
      </c>
      <c r="E80">
        <v>7604.79</v>
      </c>
      <c r="F80">
        <v>9848.83</v>
      </c>
      <c r="G80">
        <v>95.79</v>
      </c>
      <c r="H80" t="s">
        <v>81</v>
      </c>
    </row>
    <row r="81" spans="1:8" x14ac:dyDescent="0.3">
      <c r="A81" t="s">
        <v>90</v>
      </c>
      <c r="B81">
        <v>231</v>
      </c>
      <c r="C81">
        <v>125.55</v>
      </c>
      <c r="D81">
        <v>118.83</v>
      </c>
      <c r="E81">
        <v>9321.4500000000007</v>
      </c>
      <c r="F81">
        <v>9447</v>
      </c>
      <c r="G81">
        <v>95.87</v>
      </c>
      <c r="H81" t="s">
        <v>81</v>
      </c>
    </row>
    <row r="82" spans="1:8" x14ac:dyDescent="0.3">
      <c r="A82" t="s">
        <v>91</v>
      </c>
      <c r="B82">
        <v>40</v>
      </c>
      <c r="C82">
        <v>7814.74</v>
      </c>
      <c r="D82">
        <v>7927.43</v>
      </c>
      <c r="E82">
        <v>1461</v>
      </c>
      <c r="F82">
        <v>9275.74</v>
      </c>
      <c r="G82">
        <v>95.96</v>
      </c>
      <c r="H82" t="s">
        <v>81</v>
      </c>
    </row>
    <row r="83" spans="1:8" x14ac:dyDescent="0.3">
      <c r="A83" t="s">
        <v>92</v>
      </c>
      <c r="B83">
        <v>58</v>
      </c>
      <c r="C83">
        <v>1124.98</v>
      </c>
      <c r="D83">
        <v>1072</v>
      </c>
      <c r="E83">
        <v>8026.57</v>
      </c>
      <c r="F83">
        <v>9151.5499999999993</v>
      </c>
      <c r="G83">
        <v>96.04</v>
      </c>
      <c r="H83" t="s">
        <v>81</v>
      </c>
    </row>
    <row r="84" spans="1:8" x14ac:dyDescent="0.3">
      <c r="A84" t="s">
        <v>93</v>
      </c>
      <c r="B84">
        <v>233</v>
      </c>
      <c r="C84">
        <v>4968.57</v>
      </c>
      <c r="D84">
        <v>4692.07</v>
      </c>
      <c r="E84">
        <v>4168.6899999999996</v>
      </c>
      <c r="F84">
        <v>9137.26</v>
      </c>
      <c r="G84">
        <v>96.12</v>
      </c>
      <c r="H84" t="s">
        <v>81</v>
      </c>
    </row>
    <row r="85" spans="1:8" x14ac:dyDescent="0.3">
      <c r="A85" t="s">
        <v>94</v>
      </c>
      <c r="B85">
        <v>1024</v>
      </c>
      <c r="C85">
        <v>72.650000000000006</v>
      </c>
      <c r="D85">
        <v>81</v>
      </c>
      <c r="E85">
        <v>8881.64</v>
      </c>
      <c r="F85">
        <v>8954.2900000000009</v>
      </c>
      <c r="G85">
        <v>96.2</v>
      </c>
      <c r="H85" t="s">
        <v>81</v>
      </c>
    </row>
    <row r="86" spans="1:8" x14ac:dyDescent="0.3">
      <c r="A86" t="s">
        <v>95</v>
      </c>
      <c r="B86">
        <v>692</v>
      </c>
      <c r="C86">
        <v>624.97</v>
      </c>
      <c r="D86">
        <v>519.27</v>
      </c>
      <c r="E86">
        <v>8220.6</v>
      </c>
      <c r="F86">
        <v>8845.57</v>
      </c>
      <c r="G86">
        <v>96.28</v>
      </c>
      <c r="H86" t="s">
        <v>81</v>
      </c>
    </row>
    <row r="87" spans="1:8" x14ac:dyDescent="0.3">
      <c r="A87" t="s">
        <v>96</v>
      </c>
      <c r="B87">
        <v>27</v>
      </c>
      <c r="C87">
        <v>833.29</v>
      </c>
      <c r="D87">
        <v>880</v>
      </c>
      <c r="E87">
        <v>7995.9</v>
      </c>
      <c r="F87">
        <v>8829.19</v>
      </c>
      <c r="G87">
        <v>96.36</v>
      </c>
      <c r="H87" t="s">
        <v>81</v>
      </c>
    </row>
    <row r="88" spans="1:8" x14ac:dyDescent="0.3">
      <c r="A88" t="s">
        <v>97</v>
      </c>
      <c r="B88">
        <v>131</v>
      </c>
      <c r="C88">
        <v>6910.63</v>
      </c>
      <c r="D88">
        <v>6533.5</v>
      </c>
      <c r="E88">
        <v>1328.17</v>
      </c>
      <c r="F88">
        <v>8238.7999999999993</v>
      </c>
      <c r="G88">
        <v>96.43</v>
      </c>
      <c r="H88" t="s">
        <v>81</v>
      </c>
    </row>
    <row r="89" spans="1:8" x14ac:dyDescent="0.3">
      <c r="A89" t="s">
        <v>98</v>
      </c>
      <c r="B89">
        <v>400</v>
      </c>
      <c r="C89">
        <v>439.1</v>
      </c>
      <c r="D89">
        <v>534</v>
      </c>
      <c r="E89">
        <v>7741.42</v>
      </c>
      <c r="F89">
        <v>8180.52</v>
      </c>
      <c r="G89">
        <v>96.51</v>
      </c>
      <c r="H89" t="s">
        <v>81</v>
      </c>
    </row>
    <row r="90" spans="1:8" x14ac:dyDescent="0.3">
      <c r="A90" t="s">
        <v>99</v>
      </c>
      <c r="B90">
        <v>10</v>
      </c>
      <c r="C90">
        <v>6143.53</v>
      </c>
      <c r="D90">
        <v>6374.29</v>
      </c>
      <c r="E90">
        <v>1706.92</v>
      </c>
      <c r="F90">
        <v>7850.45</v>
      </c>
      <c r="G90">
        <v>96.58</v>
      </c>
      <c r="H90" t="s">
        <v>81</v>
      </c>
    </row>
    <row r="91" spans="1:8" x14ac:dyDescent="0.3">
      <c r="A91" t="s">
        <v>100</v>
      </c>
      <c r="B91">
        <v>108</v>
      </c>
      <c r="C91">
        <v>1777.76</v>
      </c>
      <c r="D91">
        <v>1816</v>
      </c>
      <c r="E91">
        <v>5809.21</v>
      </c>
      <c r="F91">
        <v>7586.97</v>
      </c>
      <c r="G91">
        <v>96.65</v>
      </c>
      <c r="H91" t="s">
        <v>81</v>
      </c>
    </row>
    <row r="92" spans="1:8" x14ac:dyDescent="0.3">
      <c r="A92" t="s">
        <v>101</v>
      </c>
      <c r="B92">
        <v>35</v>
      </c>
      <c r="C92">
        <v>4312.82</v>
      </c>
      <c r="D92">
        <v>4055</v>
      </c>
      <c r="E92">
        <v>3154.84</v>
      </c>
      <c r="F92">
        <v>7467.66</v>
      </c>
      <c r="G92">
        <v>96.71</v>
      </c>
      <c r="H92" t="s">
        <v>81</v>
      </c>
    </row>
    <row r="93" spans="1:8" x14ac:dyDescent="0.3">
      <c r="A93" t="s">
        <v>102</v>
      </c>
      <c r="B93">
        <v>91</v>
      </c>
      <c r="C93">
        <v>881.33</v>
      </c>
      <c r="D93">
        <v>889</v>
      </c>
      <c r="E93">
        <v>6405.54</v>
      </c>
      <c r="F93">
        <v>7286.87</v>
      </c>
      <c r="G93">
        <v>96.78</v>
      </c>
      <c r="H93" t="s">
        <v>81</v>
      </c>
    </row>
    <row r="94" spans="1:8" x14ac:dyDescent="0.3">
      <c r="A94" t="s">
        <v>103</v>
      </c>
      <c r="B94">
        <v>28</v>
      </c>
      <c r="C94">
        <v>1303.8800000000001</v>
      </c>
      <c r="D94">
        <v>1318</v>
      </c>
      <c r="E94">
        <v>5905.25</v>
      </c>
      <c r="F94">
        <v>7209.13</v>
      </c>
      <c r="G94">
        <v>96.84</v>
      </c>
      <c r="H94" t="s">
        <v>81</v>
      </c>
    </row>
    <row r="95" spans="1:8" x14ac:dyDescent="0.3">
      <c r="A95" t="s">
        <v>104</v>
      </c>
      <c r="B95">
        <v>86</v>
      </c>
      <c r="C95">
        <v>1520.41</v>
      </c>
      <c r="D95">
        <v>1449</v>
      </c>
      <c r="E95">
        <v>5608.25</v>
      </c>
      <c r="F95">
        <v>7128.66</v>
      </c>
      <c r="G95">
        <v>96.91</v>
      </c>
      <c r="H95" t="s">
        <v>81</v>
      </c>
    </row>
    <row r="96" spans="1:8" x14ac:dyDescent="0.3">
      <c r="A96" t="s">
        <v>105</v>
      </c>
      <c r="B96">
        <v>78</v>
      </c>
      <c r="C96">
        <v>601.75</v>
      </c>
      <c r="D96">
        <v>578.75</v>
      </c>
      <c r="E96">
        <v>6473.2</v>
      </c>
      <c r="F96">
        <v>7074.95</v>
      </c>
      <c r="G96">
        <v>96.97</v>
      </c>
      <c r="H96" t="s">
        <v>81</v>
      </c>
    </row>
    <row r="97" spans="1:8" x14ac:dyDescent="0.3">
      <c r="A97" t="s">
        <v>106</v>
      </c>
      <c r="B97">
        <v>55</v>
      </c>
      <c r="C97">
        <v>3622.65</v>
      </c>
      <c r="D97">
        <v>3752.93</v>
      </c>
      <c r="E97">
        <v>3407.76</v>
      </c>
      <c r="F97">
        <v>7030.41</v>
      </c>
      <c r="G97">
        <v>97.03</v>
      </c>
      <c r="H97" t="s">
        <v>81</v>
      </c>
    </row>
    <row r="98" spans="1:8" x14ac:dyDescent="0.3">
      <c r="A98" t="s">
        <v>107</v>
      </c>
      <c r="B98">
        <v>54</v>
      </c>
      <c r="C98">
        <v>998.62</v>
      </c>
      <c r="D98">
        <v>1035.25</v>
      </c>
      <c r="E98">
        <v>5998.31</v>
      </c>
      <c r="F98">
        <v>6996.93</v>
      </c>
      <c r="G98">
        <v>97.1</v>
      </c>
      <c r="H98" t="s">
        <v>81</v>
      </c>
    </row>
    <row r="99" spans="1:8" x14ac:dyDescent="0.3">
      <c r="A99" t="s">
        <v>108</v>
      </c>
      <c r="B99">
        <v>34</v>
      </c>
      <c r="C99">
        <v>701.44</v>
      </c>
      <c r="D99">
        <v>707</v>
      </c>
      <c r="E99">
        <v>6189</v>
      </c>
      <c r="F99">
        <v>6890.44</v>
      </c>
      <c r="G99">
        <v>97.16</v>
      </c>
      <c r="H99" t="s">
        <v>81</v>
      </c>
    </row>
    <row r="100" spans="1:8" x14ac:dyDescent="0.3">
      <c r="A100" t="s">
        <v>109</v>
      </c>
      <c r="B100">
        <v>6</v>
      </c>
      <c r="C100">
        <v>1629.41</v>
      </c>
      <c r="D100">
        <v>1631.96</v>
      </c>
      <c r="E100">
        <v>4916.79</v>
      </c>
      <c r="F100">
        <v>6546.2</v>
      </c>
      <c r="G100">
        <v>97.22</v>
      </c>
      <c r="H100" t="s">
        <v>81</v>
      </c>
    </row>
    <row r="101" spans="1:8" x14ac:dyDescent="0.3">
      <c r="A101" t="s">
        <v>110</v>
      </c>
      <c r="B101">
        <v>168</v>
      </c>
      <c r="C101">
        <v>320.02</v>
      </c>
      <c r="D101">
        <v>393</v>
      </c>
      <c r="E101">
        <v>6114.43</v>
      </c>
      <c r="F101">
        <v>6434.45</v>
      </c>
      <c r="G101">
        <v>97.28</v>
      </c>
      <c r="H101" t="s">
        <v>81</v>
      </c>
    </row>
    <row r="102" spans="1:8" x14ac:dyDescent="0.3">
      <c r="A102" t="s">
        <v>111</v>
      </c>
      <c r="B102">
        <v>69</v>
      </c>
      <c r="C102">
        <v>4613.92</v>
      </c>
      <c r="D102">
        <v>4339.09</v>
      </c>
      <c r="E102">
        <v>1747.41</v>
      </c>
      <c r="F102">
        <v>6361.33</v>
      </c>
      <c r="G102">
        <v>97.33</v>
      </c>
      <c r="H102" t="s">
        <v>81</v>
      </c>
    </row>
    <row r="103" spans="1:8" x14ac:dyDescent="0.3">
      <c r="A103" t="s">
        <v>112</v>
      </c>
      <c r="B103">
        <v>136</v>
      </c>
      <c r="C103">
        <v>2786.36</v>
      </c>
      <c r="D103">
        <v>2757.34</v>
      </c>
      <c r="E103">
        <v>3429.19</v>
      </c>
      <c r="F103">
        <v>6215.55</v>
      </c>
      <c r="G103">
        <v>97.39</v>
      </c>
      <c r="H103" t="s">
        <v>81</v>
      </c>
    </row>
    <row r="104" spans="1:8" x14ac:dyDescent="0.3">
      <c r="A104" t="s">
        <v>113</v>
      </c>
      <c r="B104">
        <v>51</v>
      </c>
      <c r="C104">
        <v>5652.74</v>
      </c>
      <c r="D104">
        <v>5444.75</v>
      </c>
      <c r="E104">
        <v>553.5</v>
      </c>
      <c r="F104">
        <v>6206.24</v>
      </c>
      <c r="G104">
        <v>97.44</v>
      </c>
      <c r="H104" t="s">
        <v>81</v>
      </c>
    </row>
    <row r="105" spans="1:8" x14ac:dyDescent="0.3">
      <c r="A105" t="s">
        <v>114</v>
      </c>
      <c r="B105">
        <v>51</v>
      </c>
      <c r="C105">
        <v>6010.56</v>
      </c>
      <c r="D105">
        <v>6099.91</v>
      </c>
      <c r="E105">
        <v>180.84</v>
      </c>
      <c r="F105">
        <v>6191.4</v>
      </c>
      <c r="G105">
        <v>97.5</v>
      </c>
      <c r="H105" t="s">
        <v>81</v>
      </c>
    </row>
    <row r="106" spans="1:8" x14ac:dyDescent="0.3">
      <c r="A106" t="s">
        <v>115</v>
      </c>
      <c r="B106">
        <v>249</v>
      </c>
      <c r="C106">
        <v>1080.6500000000001</v>
      </c>
      <c r="D106">
        <v>1201.8399999999999</v>
      </c>
      <c r="E106">
        <v>5103.84</v>
      </c>
      <c r="F106">
        <v>6184.49</v>
      </c>
      <c r="G106">
        <v>97.56</v>
      </c>
      <c r="H106" t="s">
        <v>81</v>
      </c>
    </row>
    <row r="107" spans="1:8" x14ac:dyDescent="0.3">
      <c r="A107" t="s">
        <v>116</v>
      </c>
      <c r="B107">
        <v>242</v>
      </c>
      <c r="C107">
        <v>50.23</v>
      </c>
      <c r="D107">
        <v>55.59</v>
      </c>
      <c r="E107">
        <v>6007.27</v>
      </c>
      <c r="F107">
        <v>6057.5</v>
      </c>
      <c r="G107">
        <v>97.61</v>
      </c>
      <c r="H107" t="s">
        <v>81</v>
      </c>
    </row>
    <row r="108" spans="1:8" x14ac:dyDescent="0.3">
      <c r="A108" t="s">
        <v>117</v>
      </c>
      <c r="B108">
        <v>46</v>
      </c>
      <c r="C108">
        <v>3298.91</v>
      </c>
      <c r="D108">
        <v>3276.7</v>
      </c>
      <c r="E108">
        <v>2755.59</v>
      </c>
      <c r="F108">
        <v>6054.5</v>
      </c>
      <c r="G108">
        <v>97.66</v>
      </c>
      <c r="H108" t="s">
        <v>81</v>
      </c>
    </row>
    <row r="109" spans="1:8" x14ac:dyDescent="0.3">
      <c r="A109" t="s">
        <v>118</v>
      </c>
      <c r="B109">
        <v>6</v>
      </c>
      <c r="C109">
        <v>703.37</v>
      </c>
      <c r="D109">
        <v>691</v>
      </c>
      <c r="E109">
        <v>4911.92</v>
      </c>
      <c r="F109">
        <v>5615.29</v>
      </c>
      <c r="G109">
        <v>97.71</v>
      </c>
      <c r="H109" t="s">
        <v>81</v>
      </c>
    </row>
    <row r="110" spans="1:8" x14ac:dyDescent="0.3">
      <c r="A110" t="s">
        <v>119</v>
      </c>
      <c r="B110">
        <v>31</v>
      </c>
      <c r="C110">
        <v>1215.97</v>
      </c>
      <c r="D110">
        <v>1222</v>
      </c>
      <c r="E110">
        <v>4094.21</v>
      </c>
      <c r="F110">
        <v>5310.18</v>
      </c>
      <c r="G110">
        <v>97.76</v>
      </c>
      <c r="H110" t="s">
        <v>81</v>
      </c>
    </row>
    <row r="111" spans="1:8" x14ac:dyDescent="0.3">
      <c r="A111" t="s">
        <v>120</v>
      </c>
      <c r="B111">
        <v>10</v>
      </c>
      <c r="C111">
        <v>1189.08</v>
      </c>
      <c r="D111">
        <v>1155</v>
      </c>
      <c r="E111">
        <v>3792</v>
      </c>
      <c r="F111">
        <v>4981.08</v>
      </c>
      <c r="G111">
        <v>97.81</v>
      </c>
      <c r="H111" t="s">
        <v>81</v>
      </c>
    </row>
    <row r="112" spans="1:8" x14ac:dyDescent="0.3">
      <c r="A112" t="s">
        <v>121</v>
      </c>
      <c r="B112">
        <v>30</v>
      </c>
      <c r="C112">
        <v>1149.19</v>
      </c>
      <c r="D112">
        <v>1149.75</v>
      </c>
      <c r="E112">
        <v>3775.96</v>
      </c>
      <c r="F112">
        <v>4925.1499999999996</v>
      </c>
      <c r="G112">
        <v>97.85</v>
      </c>
      <c r="H112" t="s">
        <v>81</v>
      </c>
    </row>
    <row r="113" spans="1:8" x14ac:dyDescent="0.3">
      <c r="A113" t="s">
        <v>122</v>
      </c>
      <c r="B113">
        <v>30</v>
      </c>
      <c r="C113">
        <v>2434.4299999999998</v>
      </c>
      <c r="D113">
        <v>2475.2800000000002</v>
      </c>
      <c r="E113">
        <v>2484.62</v>
      </c>
      <c r="F113">
        <v>4919.05</v>
      </c>
      <c r="G113">
        <v>97.89</v>
      </c>
      <c r="H113" t="s">
        <v>81</v>
      </c>
    </row>
    <row r="114" spans="1:8" x14ac:dyDescent="0.3">
      <c r="A114" t="s">
        <v>123</v>
      </c>
      <c r="B114">
        <v>23</v>
      </c>
      <c r="C114">
        <v>3711.3</v>
      </c>
      <c r="D114">
        <v>3500.97</v>
      </c>
      <c r="E114">
        <v>1197.82</v>
      </c>
      <c r="F114">
        <v>4909.12</v>
      </c>
      <c r="G114">
        <v>97.94</v>
      </c>
      <c r="H114" t="s">
        <v>81</v>
      </c>
    </row>
    <row r="115" spans="1:8" x14ac:dyDescent="0.3">
      <c r="A115" t="s">
        <v>124</v>
      </c>
      <c r="B115">
        <v>14</v>
      </c>
      <c r="C115">
        <v>3623.16</v>
      </c>
      <c r="D115">
        <v>3532.8</v>
      </c>
      <c r="E115">
        <v>1207</v>
      </c>
      <c r="F115">
        <v>4830.16</v>
      </c>
      <c r="G115">
        <v>97.98</v>
      </c>
      <c r="H115" t="s">
        <v>81</v>
      </c>
    </row>
    <row r="116" spans="1:8" x14ac:dyDescent="0.3">
      <c r="A116" t="s">
        <v>125</v>
      </c>
      <c r="B116">
        <v>76</v>
      </c>
      <c r="C116">
        <v>2706.95</v>
      </c>
      <c r="D116">
        <v>2468.63</v>
      </c>
      <c r="E116">
        <v>1773.84</v>
      </c>
      <c r="F116">
        <v>4480.79</v>
      </c>
      <c r="G116">
        <v>98.02</v>
      </c>
      <c r="H116" t="s">
        <v>81</v>
      </c>
    </row>
    <row r="117" spans="1:8" x14ac:dyDescent="0.3">
      <c r="A117" t="s">
        <v>126</v>
      </c>
      <c r="B117">
        <v>73</v>
      </c>
      <c r="C117">
        <v>701.94</v>
      </c>
      <c r="D117">
        <v>660.26</v>
      </c>
      <c r="E117">
        <v>3756.21</v>
      </c>
      <c r="F117">
        <v>4458.1499999999996</v>
      </c>
      <c r="G117">
        <v>98.06</v>
      </c>
      <c r="H117" t="s">
        <v>81</v>
      </c>
    </row>
    <row r="118" spans="1:8" x14ac:dyDescent="0.3">
      <c r="A118" t="s">
        <v>127</v>
      </c>
      <c r="B118">
        <v>1</v>
      </c>
      <c r="C118">
        <v>727.06</v>
      </c>
      <c r="D118">
        <v>726</v>
      </c>
      <c r="E118">
        <v>3499.3</v>
      </c>
      <c r="F118">
        <v>4226.3599999999997</v>
      </c>
      <c r="G118">
        <v>98.1</v>
      </c>
      <c r="H118" t="s">
        <v>81</v>
      </c>
    </row>
    <row r="119" spans="1:8" x14ac:dyDescent="0.3">
      <c r="A119" t="s">
        <v>128</v>
      </c>
      <c r="B119">
        <v>9</v>
      </c>
      <c r="C119">
        <v>1819.04</v>
      </c>
      <c r="D119">
        <v>1720.64</v>
      </c>
      <c r="E119">
        <v>2269.3200000000002</v>
      </c>
      <c r="F119">
        <v>4088.36</v>
      </c>
      <c r="G119">
        <v>98.14</v>
      </c>
      <c r="H119" t="s">
        <v>81</v>
      </c>
    </row>
    <row r="120" spans="1:8" x14ac:dyDescent="0.3">
      <c r="A120" t="s">
        <v>129</v>
      </c>
      <c r="B120">
        <v>13</v>
      </c>
      <c r="C120">
        <v>3169.71</v>
      </c>
      <c r="D120">
        <v>3146.28</v>
      </c>
      <c r="E120">
        <v>854.92</v>
      </c>
      <c r="F120">
        <v>4024.63</v>
      </c>
      <c r="G120">
        <v>98.17</v>
      </c>
      <c r="H120" t="s">
        <v>81</v>
      </c>
    </row>
    <row r="121" spans="1:8" x14ac:dyDescent="0.3">
      <c r="A121" t="s">
        <v>130</v>
      </c>
      <c r="B121">
        <v>42</v>
      </c>
      <c r="C121">
        <v>694.07</v>
      </c>
      <c r="D121">
        <v>678</v>
      </c>
      <c r="E121">
        <v>3297.54</v>
      </c>
      <c r="F121">
        <v>3991.61</v>
      </c>
      <c r="G121">
        <v>98.21</v>
      </c>
      <c r="H121" t="s">
        <v>81</v>
      </c>
    </row>
    <row r="122" spans="1:8" x14ac:dyDescent="0.3">
      <c r="A122" t="s">
        <v>131</v>
      </c>
      <c r="B122">
        <v>150</v>
      </c>
      <c r="C122">
        <v>4.78</v>
      </c>
      <c r="D122">
        <v>7.17</v>
      </c>
      <c r="E122">
        <v>3601.56</v>
      </c>
      <c r="F122">
        <v>3606.34</v>
      </c>
      <c r="G122">
        <v>98.24</v>
      </c>
      <c r="H122" t="s">
        <v>81</v>
      </c>
    </row>
    <row r="123" spans="1:8" x14ac:dyDescent="0.3">
      <c r="A123" t="s">
        <v>132</v>
      </c>
      <c r="B123">
        <v>71</v>
      </c>
      <c r="C123">
        <v>1211.26</v>
      </c>
      <c r="D123">
        <v>933.43</v>
      </c>
      <c r="E123">
        <v>2339.91</v>
      </c>
      <c r="F123">
        <v>3551.17</v>
      </c>
      <c r="G123">
        <v>98.27</v>
      </c>
      <c r="H123" t="s">
        <v>81</v>
      </c>
    </row>
    <row r="124" spans="1:8" x14ac:dyDescent="0.3">
      <c r="A124" t="s">
        <v>133</v>
      </c>
      <c r="B124">
        <v>30</v>
      </c>
      <c r="C124">
        <v>3018.46</v>
      </c>
      <c r="D124">
        <v>2993.56</v>
      </c>
      <c r="E124">
        <v>528.83000000000004</v>
      </c>
      <c r="F124">
        <v>3547.29</v>
      </c>
      <c r="G124">
        <v>98.3</v>
      </c>
      <c r="H124" t="s">
        <v>81</v>
      </c>
    </row>
    <row r="125" spans="1:8" x14ac:dyDescent="0.3">
      <c r="A125" t="s">
        <v>134</v>
      </c>
      <c r="B125">
        <v>9</v>
      </c>
      <c r="C125">
        <v>314.70999999999998</v>
      </c>
      <c r="D125">
        <v>309</v>
      </c>
      <c r="E125">
        <v>3198.5</v>
      </c>
      <c r="F125">
        <v>3513.21</v>
      </c>
      <c r="G125">
        <v>98.34</v>
      </c>
      <c r="H125" t="s">
        <v>81</v>
      </c>
    </row>
    <row r="126" spans="1:8" x14ac:dyDescent="0.3">
      <c r="A126" t="s">
        <v>135</v>
      </c>
      <c r="B126">
        <v>13</v>
      </c>
      <c r="C126">
        <v>1965.4</v>
      </c>
      <c r="D126">
        <v>1892.59</v>
      </c>
      <c r="E126">
        <v>1533.92</v>
      </c>
      <c r="F126">
        <v>3499.32</v>
      </c>
      <c r="G126">
        <v>98.37</v>
      </c>
      <c r="H126" t="s">
        <v>81</v>
      </c>
    </row>
    <row r="127" spans="1:8" x14ac:dyDescent="0.3">
      <c r="A127" t="s">
        <v>136</v>
      </c>
      <c r="B127">
        <v>34</v>
      </c>
      <c r="C127">
        <v>1750.49</v>
      </c>
      <c r="D127">
        <v>1964.35</v>
      </c>
      <c r="E127">
        <v>1657.84</v>
      </c>
      <c r="F127">
        <v>3408.33</v>
      </c>
      <c r="G127">
        <v>98.4</v>
      </c>
      <c r="H127" t="s">
        <v>81</v>
      </c>
    </row>
    <row r="128" spans="1:8" x14ac:dyDescent="0.3">
      <c r="A128" t="s">
        <v>137</v>
      </c>
      <c r="B128">
        <v>36</v>
      </c>
      <c r="C128">
        <v>1125.56</v>
      </c>
      <c r="D128">
        <v>1058.58</v>
      </c>
      <c r="E128">
        <v>2282.59</v>
      </c>
      <c r="F128">
        <v>3408.15</v>
      </c>
      <c r="G128">
        <v>98.43</v>
      </c>
      <c r="H128" t="s">
        <v>81</v>
      </c>
    </row>
    <row r="129" spans="1:8" x14ac:dyDescent="0.3">
      <c r="A129" t="s">
        <v>138</v>
      </c>
      <c r="B129">
        <v>33</v>
      </c>
      <c r="C129">
        <v>710.58</v>
      </c>
      <c r="D129">
        <v>698.85</v>
      </c>
      <c r="E129">
        <v>2521.2600000000002</v>
      </c>
      <c r="F129">
        <v>3231.84</v>
      </c>
      <c r="G129">
        <v>98.46</v>
      </c>
      <c r="H129" t="s">
        <v>81</v>
      </c>
    </row>
    <row r="130" spans="1:8" x14ac:dyDescent="0.3">
      <c r="A130" t="s">
        <v>139</v>
      </c>
      <c r="B130">
        <v>21</v>
      </c>
      <c r="C130">
        <v>3177.9</v>
      </c>
      <c r="D130">
        <v>2929.08</v>
      </c>
      <c r="E130">
        <v>0</v>
      </c>
      <c r="F130">
        <v>3177.9</v>
      </c>
      <c r="G130">
        <v>98.49</v>
      </c>
      <c r="H130" t="s">
        <v>81</v>
      </c>
    </row>
    <row r="131" spans="1:8" x14ac:dyDescent="0.3">
      <c r="A131" t="s">
        <v>140</v>
      </c>
      <c r="B131">
        <v>27</v>
      </c>
      <c r="C131">
        <v>1433.06</v>
      </c>
      <c r="D131">
        <v>1602.25</v>
      </c>
      <c r="E131">
        <v>1666</v>
      </c>
      <c r="F131">
        <v>3099.06</v>
      </c>
      <c r="G131">
        <v>98.51</v>
      </c>
      <c r="H131" t="s">
        <v>81</v>
      </c>
    </row>
    <row r="132" spans="1:8" x14ac:dyDescent="0.3">
      <c r="A132" t="s">
        <v>141</v>
      </c>
      <c r="B132">
        <v>20</v>
      </c>
      <c r="C132">
        <v>1653.57</v>
      </c>
      <c r="D132">
        <v>1582.26</v>
      </c>
      <c r="E132">
        <v>1375</v>
      </c>
      <c r="F132">
        <v>3028.57</v>
      </c>
      <c r="G132">
        <v>98.54</v>
      </c>
      <c r="H132" t="s">
        <v>81</v>
      </c>
    </row>
    <row r="133" spans="1:8" x14ac:dyDescent="0.3">
      <c r="A133" t="s">
        <v>142</v>
      </c>
      <c r="B133">
        <v>41</v>
      </c>
      <c r="C133">
        <v>1335.44</v>
      </c>
      <c r="D133">
        <v>1299.33</v>
      </c>
      <c r="E133">
        <v>1576.83</v>
      </c>
      <c r="F133">
        <v>2912.27</v>
      </c>
      <c r="G133">
        <v>98.57</v>
      </c>
      <c r="H133" t="s">
        <v>81</v>
      </c>
    </row>
    <row r="134" spans="1:8" x14ac:dyDescent="0.3">
      <c r="A134" t="s">
        <v>143</v>
      </c>
      <c r="B134">
        <v>13</v>
      </c>
      <c r="C134">
        <v>1721.84</v>
      </c>
      <c r="D134">
        <v>1646.76</v>
      </c>
      <c r="E134">
        <v>1160.92</v>
      </c>
      <c r="F134">
        <v>2882.76</v>
      </c>
      <c r="G134">
        <v>98.59</v>
      </c>
      <c r="H134" t="s">
        <v>81</v>
      </c>
    </row>
    <row r="135" spans="1:8" x14ac:dyDescent="0.3">
      <c r="A135" t="s">
        <v>144</v>
      </c>
      <c r="B135">
        <v>18</v>
      </c>
      <c r="C135">
        <v>688.81</v>
      </c>
      <c r="D135">
        <v>689</v>
      </c>
      <c r="E135">
        <v>2018.5</v>
      </c>
      <c r="F135">
        <v>2707.31</v>
      </c>
      <c r="G135">
        <v>98.62</v>
      </c>
      <c r="H135" t="s">
        <v>81</v>
      </c>
    </row>
    <row r="136" spans="1:8" x14ac:dyDescent="0.3">
      <c r="A136" t="s">
        <v>145</v>
      </c>
      <c r="B136">
        <v>60</v>
      </c>
      <c r="C136">
        <v>2169.6799999999998</v>
      </c>
      <c r="D136">
        <v>2083.36</v>
      </c>
      <c r="E136">
        <v>518.58000000000004</v>
      </c>
      <c r="F136">
        <v>2688.26</v>
      </c>
      <c r="G136">
        <v>98.64</v>
      </c>
      <c r="H136" t="s">
        <v>81</v>
      </c>
    </row>
    <row r="137" spans="1:8" x14ac:dyDescent="0.3">
      <c r="A137" t="s">
        <v>146</v>
      </c>
      <c r="B137">
        <v>14</v>
      </c>
      <c r="C137">
        <v>458.89</v>
      </c>
      <c r="D137">
        <v>443.49</v>
      </c>
      <c r="E137">
        <v>2188.7600000000002</v>
      </c>
      <c r="F137">
        <v>2647.65</v>
      </c>
      <c r="G137">
        <v>98.67</v>
      </c>
      <c r="H137" t="s">
        <v>81</v>
      </c>
    </row>
    <row r="138" spans="1:8" x14ac:dyDescent="0.3">
      <c r="A138" t="s">
        <v>147</v>
      </c>
      <c r="B138">
        <v>15</v>
      </c>
      <c r="C138">
        <v>1458.95</v>
      </c>
      <c r="D138">
        <v>1444.94</v>
      </c>
      <c r="E138">
        <v>1142.49</v>
      </c>
      <c r="F138">
        <v>2601.44</v>
      </c>
      <c r="G138">
        <v>98.69</v>
      </c>
      <c r="H138" t="s">
        <v>81</v>
      </c>
    </row>
    <row r="139" spans="1:8" x14ac:dyDescent="0.3">
      <c r="A139" t="s">
        <v>148</v>
      </c>
      <c r="B139">
        <v>25</v>
      </c>
      <c r="C139">
        <v>288.07</v>
      </c>
      <c r="D139">
        <v>293</v>
      </c>
      <c r="E139">
        <v>2273.75</v>
      </c>
      <c r="F139">
        <v>2561.8200000000002</v>
      </c>
      <c r="G139">
        <v>98.71</v>
      </c>
      <c r="H139" t="s">
        <v>81</v>
      </c>
    </row>
    <row r="140" spans="1:8" x14ac:dyDescent="0.3">
      <c r="A140" t="s">
        <v>149</v>
      </c>
      <c r="B140">
        <v>10</v>
      </c>
      <c r="C140">
        <v>0</v>
      </c>
      <c r="D140">
        <v>0</v>
      </c>
      <c r="E140">
        <v>2529.64</v>
      </c>
      <c r="F140">
        <v>2529.64</v>
      </c>
      <c r="G140">
        <v>98.73</v>
      </c>
      <c r="H140" t="s">
        <v>81</v>
      </c>
    </row>
    <row r="141" spans="1:8" x14ac:dyDescent="0.3">
      <c r="A141" t="s">
        <v>150</v>
      </c>
      <c r="B141">
        <v>138</v>
      </c>
      <c r="C141">
        <v>166.55</v>
      </c>
      <c r="D141">
        <v>135.66999999999999</v>
      </c>
      <c r="E141">
        <v>2362.42</v>
      </c>
      <c r="F141">
        <v>2528.9699999999998</v>
      </c>
      <c r="G141">
        <v>98.76</v>
      </c>
      <c r="H141" t="s">
        <v>81</v>
      </c>
    </row>
    <row r="142" spans="1:8" x14ac:dyDescent="0.3">
      <c r="A142" t="s">
        <v>151</v>
      </c>
      <c r="B142">
        <v>148</v>
      </c>
      <c r="C142">
        <v>484.16</v>
      </c>
      <c r="D142">
        <v>445.76</v>
      </c>
      <c r="E142">
        <v>2021.59</v>
      </c>
      <c r="F142">
        <v>2505.75</v>
      </c>
      <c r="G142">
        <v>98.78</v>
      </c>
      <c r="H142" t="s">
        <v>81</v>
      </c>
    </row>
    <row r="143" spans="1:8" x14ac:dyDescent="0.3">
      <c r="A143" t="s">
        <v>152</v>
      </c>
      <c r="B143">
        <v>82</v>
      </c>
      <c r="C143">
        <v>2127.1</v>
      </c>
      <c r="D143">
        <v>2461.1</v>
      </c>
      <c r="E143">
        <v>351.75</v>
      </c>
      <c r="F143">
        <v>2478.85</v>
      </c>
      <c r="G143">
        <v>98.8</v>
      </c>
      <c r="H143" t="s">
        <v>81</v>
      </c>
    </row>
    <row r="144" spans="1:8" x14ac:dyDescent="0.3">
      <c r="A144" t="s">
        <v>153</v>
      </c>
      <c r="B144">
        <v>6</v>
      </c>
      <c r="C144">
        <v>2352.69</v>
      </c>
      <c r="D144">
        <v>2393.34</v>
      </c>
      <c r="E144">
        <v>119</v>
      </c>
      <c r="F144">
        <v>2471.69</v>
      </c>
      <c r="G144">
        <v>98.82</v>
      </c>
      <c r="H144" t="s">
        <v>81</v>
      </c>
    </row>
    <row r="145" spans="1:8" x14ac:dyDescent="0.3">
      <c r="A145" t="s">
        <v>154</v>
      </c>
      <c r="B145">
        <v>131</v>
      </c>
      <c r="C145">
        <v>413.75</v>
      </c>
      <c r="D145">
        <v>418.02</v>
      </c>
      <c r="E145">
        <v>2057.2399999999998</v>
      </c>
      <c r="F145">
        <v>2470.9899999999998</v>
      </c>
      <c r="G145">
        <v>98.85</v>
      </c>
      <c r="H145" t="s">
        <v>81</v>
      </c>
    </row>
    <row r="146" spans="1:8" x14ac:dyDescent="0.3">
      <c r="A146" t="s">
        <v>155</v>
      </c>
      <c r="B146">
        <v>4</v>
      </c>
      <c r="C146">
        <v>509.77</v>
      </c>
      <c r="D146">
        <v>500</v>
      </c>
      <c r="E146">
        <v>1926.25</v>
      </c>
      <c r="F146">
        <v>2436.02</v>
      </c>
      <c r="G146">
        <v>98.87</v>
      </c>
      <c r="H146" t="s">
        <v>81</v>
      </c>
    </row>
    <row r="147" spans="1:8" x14ac:dyDescent="0.3">
      <c r="A147" t="s">
        <v>156</v>
      </c>
      <c r="B147">
        <v>51</v>
      </c>
      <c r="C147">
        <v>572.41999999999996</v>
      </c>
      <c r="D147">
        <v>585.75</v>
      </c>
      <c r="E147">
        <v>1849</v>
      </c>
      <c r="F147">
        <v>2421.42</v>
      </c>
      <c r="G147">
        <v>98.89</v>
      </c>
      <c r="H147" t="s">
        <v>81</v>
      </c>
    </row>
    <row r="148" spans="1:8" x14ac:dyDescent="0.3">
      <c r="A148" t="s">
        <v>157</v>
      </c>
      <c r="B148">
        <v>24</v>
      </c>
      <c r="C148">
        <v>1217.45</v>
      </c>
      <c r="D148">
        <v>1225.42</v>
      </c>
      <c r="E148">
        <v>1172.75</v>
      </c>
      <c r="F148">
        <v>2390.1999999999998</v>
      </c>
      <c r="G148">
        <v>98.91</v>
      </c>
      <c r="H148" t="s">
        <v>81</v>
      </c>
    </row>
    <row r="149" spans="1:8" x14ac:dyDescent="0.3">
      <c r="A149" t="s">
        <v>158</v>
      </c>
      <c r="B149">
        <v>24</v>
      </c>
      <c r="C149">
        <v>976.54</v>
      </c>
      <c r="D149">
        <v>961.67</v>
      </c>
      <c r="E149">
        <v>1340.76</v>
      </c>
      <c r="F149">
        <v>2317.3000000000002</v>
      </c>
      <c r="G149">
        <v>98.93</v>
      </c>
      <c r="H149" t="s">
        <v>81</v>
      </c>
    </row>
    <row r="150" spans="1:8" x14ac:dyDescent="0.3">
      <c r="A150" t="s">
        <v>159</v>
      </c>
      <c r="B150">
        <v>101</v>
      </c>
      <c r="C150">
        <v>17.059999999999999</v>
      </c>
      <c r="D150">
        <v>12.17</v>
      </c>
      <c r="E150">
        <v>2228.7800000000002</v>
      </c>
      <c r="F150">
        <v>2245.84</v>
      </c>
      <c r="G150">
        <v>98.95</v>
      </c>
      <c r="H150" t="s">
        <v>81</v>
      </c>
    </row>
    <row r="151" spans="1:8" x14ac:dyDescent="0.3">
      <c r="A151" t="s">
        <v>160</v>
      </c>
      <c r="B151">
        <v>8</v>
      </c>
      <c r="C151">
        <v>557.99</v>
      </c>
      <c r="D151">
        <v>545.5</v>
      </c>
      <c r="E151">
        <v>1654.25</v>
      </c>
      <c r="F151">
        <v>2212.2399999999998</v>
      </c>
      <c r="G151">
        <v>98.97</v>
      </c>
      <c r="H151" t="s">
        <v>81</v>
      </c>
    </row>
    <row r="152" spans="1:8" x14ac:dyDescent="0.3">
      <c r="A152" t="s">
        <v>161</v>
      </c>
      <c r="B152">
        <v>52</v>
      </c>
      <c r="C152">
        <v>287.37</v>
      </c>
      <c r="D152">
        <v>275</v>
      </c>
      <c r="E152">
        <v>1891.79</v>
      </c>
      <c r="F152">
        <v>2179.16</v>
      </c>
      <c r="G152">
        <v>98.99</v>
      </c>
      <c r="H152" t="s">
        <v>81</v>
      </c>
    </row>
    <row r="153" spans="1:8" x14ac:dyDescent="0.3">
      <c r="A153" t="s">
        <v>162</v>
      </c>
      <c r="B153">
        <v>18</v>
      </c>
      <c r="C153">
        <v>347.42</v>
      </c>
      <c r="D153">
        <v>394</v>
      </c>
      <c r="E153">
        <v>1812.88</v>
      </c>
      <c r="F153">
        <v>2160.3000000000002</v>
      </c>
      <c r="G153">
        <v>99.01</v>
      </c>
      <c r="H153" t="s">
        <v>81</v>
      </c>
    </row>
    <row r="154" spans="1:8" x14ac:dyDescent="0.3">
      <c r="A154" t="s">
        <v>163</v>
      </c>
      <c r="B154">
        <v>7</v>
      </c>
      <c r="C154">
        <v>85.68</v>
      </c>
      <c r="D154">
        <v>75.91</v>
      </c>
      <c r="E154">
        <v>1963.84</v>
      </c>
      <c r="F154">
        <v>2049.52</v>
      </c>
      <c r="G154">
        <v>99.03</v>
      </c>
      <c r="H154" t="s">
        <v>81</v>
      </c>
    </row>
    <row r="155" spans="1:8" x14ac:dyDescent="0.3">
      <c r="A155" t="s">
        <v>164</v>
      </c>
      <c r="B155">
        <v>18</v>
      </c>
      <c r="C155">
        <v>25.35</v>
      </c>
      <c r="D155">
        <v>15.66</v>
      </c>
      <c r="E155">
        <v>2017.76</v>
      </c>
      <c r="F155">
        <v>2043.11</v>
      </c>
      <c r="G155">
        <v>99.05</v>
      </c>
      <c r="H155" t="s">
        <v>81</v>
      </c>
    </row>
    <row r="156" spans="1:8" x14ac:dyDescent="0.3">
      <c r="A156" t="s">
        <v>165</v>
      </c>
      <c r="B156">
        <v>14</v>
      </c>
      <c r="C156">
        <v>1096.19</v>
      </c>
      <c r="D156">
        <v>1129.44</v>
      </c>
      <c r="E156">
        <v>871.92</v>
      </c>
      <c r="F156">
        <v>1968.11</v>
      </c>
      <c r="G156">
        <v>99.07</v>
      </c>
      <c r="H156" t="s">
        <v>81</v>
      </c>
    </row>
    <row r="157" spans="1:8" x14ac:dyDescent="0.3">
      <c r="A157" t="s">
        <v>166</v>
      </c>
      <c r="B157">
        <v>6</v>
      </c>
      <c r="C157">
        <v>482.11</v>
      </c>
      <c r="D157">
        <v>510.58</v>
      </c>
      <c r="E157">
        <v>1432.52</v>
      </c>
      <c r="F157">
        <v>1914.63</v>
      </c>
      <c r="G157">
        <v>99.08</v>
      </c>
      <c r="H157" t="s">
        <v>81</v>
      </c>
    </row>
    <row r="158" spans="1:8" x14ac:dyDescent="0.3">
      <c r="A158" t="s">
        <v>167</v>
      </c>
      <c r="B158">
        <v>18</v>
      </c>
      <c r="C158">
        <v>1130.0999999999999</v>
      </c>
      <c r="D158">
        <v>1132.42</v>
      </c>
      <c r="E158">
        <v>713</v>
      </c>
      <c r="F158">
        <v>1843.1</v>
      </c>
      <c r="G158">
        <v>99.1</v>
      </c>
      <c r="H158" t="s">
        <v>81</v>
      </c>
    </row>
    <row r="159" spans="1:8" x14ac:dyDescent="0.3">
      <c r="A159" t="s">
        <v>168</v>
      </c>
      <c r="B159">
        <v>2</v>
      </c>
      <c r="C159">
        <v>15.25</v>
      </c>
      <c r="D159">
        <v>15</v>
      </c>
      <c r="E159">
        <v>1823.67</v>
      </c>
      <c r="F159">
        <v>1838.92</v>
      </c>
      <c r="G159">
        <v>99.12</v>
      </c>
      <c r="H159" t="s">
        <v>81</v>
      </c>
    </row>
    <row r="160" spans="1:8" x14ac:dyDescent="0.3">
      <c r="A160" t="s">
        <v>169</v>
      </c>
      <c r="B160">
        <v>27</v>
      </c>
      <c r="C160">
        <v>136.25</v>
      </c>
      <c r="D160">
        <v>112.6</v>
      </c>
      <c r="E160">
        <v>1614.02</v>
      </c>
      <c r="F160">
        <v>1750.27</v>
      </c>
      <c r="G160">
        <v>99.13</v>
      </c>
      <c r="H160" t="s">
        <v>81</v>
      </c>
    </row>
    <row r="161" spans="1:8" x14ac:dyDescent="0.3">
      <c r="A161" t="s">
        <v>170</v>
      </c>
      <c r="B161">
        <v>42</v>
      </c>
      <c r="C161">
        <v>129.74</v>
      </c>
      <c r="D161">
        <v>101.17</v>
      </c>
      <c r="E161">
        <v>1572.83</v>
      </c>
      <c r="F161">
        <v>1702.57</v>
      </c>
      <c r="G161">
        <v>99.15</v>
      </c>
      <c r="H161" t="s">
        <v>81</v>
      </c>
    </row>
    <row r="162" spans="1:8" x14ac:dyDescent="0.3">
      <c r="A162" t="s">
        <v>171</v>
      </c>
      <c r="B162">
        <v>27</v>
      </c>
      <c r="C162">
        <v>969.72</v>
      </c>
      <c r="D162">
        <v>777.01</v>
      </c>
      <c r="E162">
        <v>722</v>
      </c>
      <c r="F162">
        <v>1691.72</v>
      </c>
      <c r="G162">
        <v>99.16</v>
      </c>
      <c r="H162" t="s">
        <v>81</v>
      </c>
    </row>
    <row r="163" spans="1:8" x14ac:dyDescent="0.3">
      <c r="A163" t="s">
        <v>172</v>
      </c>
      <c r="B163">
        <v>5</v>
      </c>
      <c r="C163">
        <v>1684.9</v>
      </c>
      <c r="D163">
        <v>0</v>
      </c>
      <c r="E163">
        <v>0</v>
      </c>
      <c r="F163">
        <v>1684.9</v>
      </c>
      <c r="G163">
        <v>99.18</v>
      </c>
      <c r="H163" t="s">
        <v>81</v>
      </c>
    </row>
    <row r="164" spans="1:8" x14ac:dyDescent="0.3">
      <c r="A164" t="s">
        <v>173</v>
      </c>
      <c r="B164">
        <v>12</v>
      </c>
      <c r="C164">
        <v>715.37</v>
      </c>
      <c r="D164">
        <v>623.52</v>
      </c>
      <c r="E164">
        <v>966.75</v>
      </c>
      <c r="F164">
        <v>1682.12</v>
      </c>
      <c r="G164">
        <v>99.19</v>
      </c>
      <c r="H164" t="s">
        <v>81</v>
      </c>
    </row>
    <row r="165" spans="1:8" x14ac:dyDescent="0.3">
      <c r="A165" t="s">
        <v>174</v>
      </c>
      <c r="B165">
        <v>13</v>
      </c>
      <c r="C165">
        <v>1559.98</v>
      </c>
      <c r="D165">
        <v>1573.16</v>
      </c>
      <c r="E165">
        <v>68</v>
      </c>
      <c r="F165">
        <v>1627.98</v>
      </c>
      <c r="G165">
        <v>99.21</v>
      </c>
      <c r="H165" t="s">
        <v>81</v>
      </c>
    </row>
    <row r="166" spans="1:8" x14ac:dyDescent="0.3">
      <c r="A166" t="s">
        <v>175</v>
      </c>
      <c r="B166">
        <v>64</v>
      </c>
      <c r="C166">
        <v>1019.85</v>
      </c>
      <c r="D166">
        <v>1123.44</v>
      </c>
      <c r="E166">
        <v>598.83000000000004</v>
      </c>
      <c r="F166">
        <v>1618.68</v>
      </c>
      <c r="G166">
        <v>99.22</v>
      </c>
      <c r="H166" t="s">
        <v>81</v>
      </c>
    </row>
    <row r="167" spans="1:8" x14ac:dyDescent="0.3">
      <c r="A167" t="s">
        <v>176</v>
      </c>
      <c r="B167">
        <v>20</v>
      </c>
      <c r="C167">
        <v>1128.72</v>
      </c>
      <c r="D167">
        <v>1084.67</v>
      </c>
      <c r="E167">
        <v>485</v>
      </c>
      <c r="F167">
        <v>1613.72</v>
      </c>
      <c r="G167">
        <v>99.24</v>
      </c>
      <c r="H167" t="s">
        <v>81</v>
      </c>
    </row>
    <row r="168" spans="1:8" x14ac:dyDescent="0.3">
      <c r="A168" t="s">
        <v>177</v>
      </c>
      <c r="B168">
        <v>84</v>
      </c>
      <c r="C168">
        <v>559.19000000000005</v>
      </c>
      <c r="D168">
        <v>651</v>
      </c>
      <c r="E168">
        <v>1010</v>
      </c>
      <c r="F168">
        <v>1569.19</v>
      </c>
      <c r="G168">
        <v>99.25</v>
      </c>
      <c r="H168" t="s">
        <v>81</v>
      </c>
    </row>
    <row r="169" spans="1:8" x14ac:dyDescent="0.3">
      <c r="A169" t="s">
        <v>178</v>
      </c>
      <c r="B169">
        <v>21</v>
      </c>
      <c r="C169">
        <v>515.04999999999995</v>
      </c>
      <c r="D169">
        <v>599.91999999999996</v>
      </c>
      <c r="E169">
        <v>1043</v>
      </c>
      <c r="F169">
        <v>1558.05</v>
      </c>
      <c r="G169">
        <v>99.26</v>
      </c>
      <c r="H169" t="s">
        <v>81</v>
      </c>
    </row>
    <row r="170" spans="1:8" x14ac:dyDescent="0.3">
      <c r="A170" t="s">
        <v>179</v>
      </c>
      <c r="B170">
        <v>9</v>
      </c>
      <c r="C170">
        <v>99.93</v>
      </c>
      <c r="D170">
        <v>104</v>
      </c>
      <c r="E170">
        <v>1454.58</v>
      </c>
      <c r="F170">
        <v>1554.51</v>
      </c>
      <c r="G170">
        <v>99.28</v>
      </c>
      <c r="H170" t="s">
        <v>81</v>
      </c>
    </row>
    <row r="171" spans="1:8" x14ac:dyDescent="0.3">
      <c r="A171" t="s">
        <v>180</v>
      </c>
      <c r="B171">
        <v>21</v>
      </c>
      <c r="C171">
        <v>680.46</v>
      </c>
      <c r="D171">
        <v>644.51</v>
      </c>
      <c r="E171">
        <v>835</v>
      </c>
      <c r="F171">
        <v>1515.46</v>
      </c>
      <c r="G171">
        <v>99.29</v>
      </c>
      <c r="H171" t="s">
        <v>81</v>
      </c>
    </row>
    <row r="172" spans="1:8" x14ac:dyDescent="0.3">
      <c r="A172" t="s">
        <v>181</v>
      </c>
      <c r="B172">
        <v>42</v>
      </c>
      <c r="C172">
        <v>123.9</v>
      </c>
      <c r="D172">
        <v>125.96</v>
      </c>
      <c r="E172">
        <v>1362.83</v>
      </c>
      <c r="F172">
        <v>1486.73</v>
      </c>
      <c r="G172">
        <v>99.3</v>
      </c>
      <c r="H172" t="s">
        <v>81</v>
      </c>
    </row>
    <row r="173" spans="1:8" x14ac:dyDescent="0.3">
      <c r="A173" t="s">
        <v>182</v>
      </c>
      <c r="B173">
        <v>31</v>
      </c>
      <c r="C173">
        <v>538.39</v>
      </c>
      <c r="D173">
        <v>825</v>
      </c>
      <c r="E173">
        <v>941.84</v>
      </c>
      <c r="F173">
        <v>1480.23</v>
      </c>
      <c r="G173">
        <v>99.32</v>
      </c>
      <c r="H173" t="s">
        <v>81</v>
      </c>
    </row>
    <row r="174" spans="1:8" x14ac:dyDescent="0.3">
      <c r="A174" t="s">
        <v>183</v>
      </c>
      <c r="B174">
        <v>176</v>
      </c>
      <c r="C174">
        <v>71.430000000000007</v>
      </c>
      <c r="D174">
        <v>90.42</v>
      </c>
      <c r="E174">
        <v>1402.84</v>
      </c>
      <c r="F174">
        <v>1474.27</v>
      </c>
      <c r="G174">
        <v>99.33</v>
      </c>
      <c r="H174" t="s">
        <v>81</v>
      </c>
    </row>
    <row r="175" spans="1:8" x14ac:dyDescent="0.3">
      <c r="A175" t="s">
        <v>184</v>
      </c>
      <c r="B175">
        <v>5</v>
      </c>
      <c r="C175">
        <v>862.25</v>
      </c>
      <c r="D175">
        <v>868.68</v>
      </c>
      <c r="E175">
        <v>600</v>
      </c>
      <c r="F175">
        <v>1462.25</v>
      </c>
      <c r="G175">
        <v>99.34</v>
      </c>
      <c r="H175" t="s">
        <v>81</v>
      </c>
    </row>
    <row r="176" spans="1:8" x14ac:dyDescent="0.3">
      <c r="A176" t="s">
        <v>185</v>
      </c>
      <c r="B176">
        <v>188</v>
      </c>
      <c r="C176">
        <v>95.29</v>
      </c>
      <c r="D176">
        <v>72.83</v>
      </c>
      <c r="E176">
        <v>1366.33</v>
      </c>
      <c r="F176">
        <v>1461.62</v>
      </c>
      <c r="G176">
        <v>99.36</v>
      </c>
      <c r="H176" t="s">
        <v>81</v>
      </c>
    </row>
    <row r="177" spans="1:8" x14ac:dyDescent="0.3">
      <c r="A177" t="s">
        <v>186</v>
      </c>
      <c r="B177">
        <v>182</v>
      </c>
      <c r="C177">
        <v>4.46</v>
      </c>
      <c r="D177">
        <v>7</v>
      </c>
      <c r="E177">
        <v>1452.66</v>
      </c>
      <c r="F177">
        <v>1457.12</v>
      </c>
      <c r="G177">
        <v>99.37</v>
      </c>
      <c r="H177" t="s">
        <v>81</v>
      </c>
    </row>
    <row r="178" spans="1:8" x14ac:dyDescent="0.3">
      <c r="A178" t="s">
        <v>187</v>
      </c>
      <c r="B178">
        <v>44</v>
      </c>
      <c r="C178">
        <v>291.17</v>
      </c>
      <c r="D178">
        <v>265.52</v>
      </c>
      <c r="E178">
        <v>1067.67</v>
      </c>
      <c r="F178">
        <v>1358.84</v>
      </c>
      <c r="G178">
        <v>99.38</v>
      </c>
      <c r="H178" t="s">
        <v>81</v>
      </c>
    </row>
    <row r="179" spans="1:8" x14ac:dyDescent="0.3">
      <c r="A179" t="s">
        <v>188</v>
      </c>
      <c r="B179">
        <v>20</v>
      </c>
      <c r="C179">
        <v>454.98</v>
      </c>
      <c r="D179">
        <v>327</v>
      </c>
      <c r="E179">
        <v>891.25</v>
      </c>
      <c r="F179">
        <v>1346.23</v>
      </c>
      <c r="G179">
        <v>99.39</v>
      </c>
      <c r="H179" t="s">
        <v>81</v>
      </c>
    </row>
    <row r="180" spans="1:8" x14ac:dyDescent="0.3">
      <c r="A180" t="s">
        <v>189</v>
      </c>
      <c r="B180">
        <v>31</v>
      </c>
      <c r="C180">
        <v>847.42</v>
      </c>
      <c r="D180">
        <v>862.12</v>
      </c>
      <c r="E180">
        <v>495.5</v>
      </c>
      <c r="F180">
        <v>1342.92</v>
      </c>
      <c r="G180">
        <v>99.41</v>
      </c>
      <c r="H180" t="s">
        <v>81</v>
      </c>
    </row>
    <row r="181" spans="1:8" x14ac:dyDescent="0.3">
      <c r="A181" t="s">
        <v>190</v>
      </c>
      <c r="B181">
        <v>18</v>
      </c>
      <c r="C181">
        <v>1246.27</v>
      </c>
      <c r="D181">
        <v>1324.49</v>
      </c>
      <c r="E181">
        <v>50</v>
      </c>
      <c r="F181">
        <v>1296.27</v>
      </c>
      <c r="G181">
        <v>99.42</v>
      </c>
      <c r="H181" t="s">
        <v>81</v>
      </c>
    </row>
    <row r="182" spans="1:8" x14ac:dyDescent="0.3">
      <c r="A182" t="s">
        <v>191</v>
      </c>
      <c r="B182">
        <v>19</v>
      </c>
      <c r="C182">
        <v>830.3</v>
      </c>
      <c r="D182">
        <v>733.46</v>
      </c>
      <c r="E182">
        <v>397.33</v>
      </c>
      <c r="F182">
        <v>1227.6300000000001</v>
      </c>
      <c r="G182">
        <v>99.43</v>
      </c>
      <c r="H182" t="s">
        <v>81</v>
      </c>
    </row>
    <row r="183" spans="1:8" x14ac:dyDescent="0.3">
      <c r="A183" t="s">
        <v>192</v>
      </c>
      <c r="B183">
        <v>21</v>
      </c>
      <c r="C183">
        <v>1196.3599999999999</v>
      </c>
      <c r="D183">
        <v>1046.0999999999999</v>
      </c>
      <c r="E183">
        <v>14</v>
      </c>
      <c r="F183">
        <v>1210.3599999999999</v>
      </c>
      <c r="G183">
        <v>99.44</v>
      </c>
      <c r="H183" t="s">
        <v>81</v>
      </c>
    </row>
    <row r="184" spans="1:8" x14ac:dyDescent="0.3">
      <c r="A184" t="s">
        <v>193</v>
      </c>
      <c r="B184">
        <v>3</v>
      </c>
      <c r="C184">
        <v>1096.07</v>
      </c>
      <c r="D184">
        <v>1082.3399999999999</v>
      </c>
      <c r="E184">
        <v>39</v>
      </c>
      <c r="F184">
        <v>1135.07</v>
      </c>
      <c r="G184">
        <v>99.45</v>
      </c>
      <c r="H184" t="s">
        <v>81</v>
      </c>
    </row>
    <row r="185" spans="1:8" x14ac:dyDescent="0.3">
      <c r="A185" t="s">
        <v>194</v>
      </c>
      <c r="B185">
        <v>16</v>
      </c>
      <c r="C185">
        <v>493.73</v>
      </c>
      <c r="D185">
        <v>468.42</v>
      </c>
      <c r="E185">
        <v>628.91999999999996</v>
      </c>
      <c r="F185">
        <v>1122.6500000000001</v>
      </c>
      <c r="G185">
        <v>99.46</v>
      </c>
      <c r="H185" t="s">
        <v>81</v>
      </c>
    </row>
    <row r="186" spans="1:8" x14ac:dyDescent="0.3">
      <c r="A186" t="s">
        <v>195</v>
      </c>
      <c r="B186">
        <v>1</v>
      </c>
      <c r="C186">
        <v>113.41</v>
      </c>
      <c r="D186">
        <v>116</v>
      </c>
      <c r="E186">
        <v>981</v>
      </c>
      <c r="F186">
        <v>1094.4100000000001</v>
      </c>
      <c r="G186">
        <v>99.47</v>
      </c>
      <c r="H186" t="s">
        <v>81</v>
      </c>
    </row>
    <row r="187" spans="1:8" x14ac:dyDescent="0.3">
      <c r="A187" t="s">
        <v>196</v>
      </c>
      <c r="B187">
        <v>15</v>
      </c>
      <c r="C187">
        <v>903.47</v>
      </c>
      <c r="D187">
        <v>900.15</v>
      </c>
      <c r="E187">
        <v>178.83</v>
      </c>
      <c r="F187">
        <v>1082.3</v>
      </c>
      <c r="G187">
        <v>99.48</v>
      </c>
      <c r="H187" t="s">
        <v>81</v>
      </c>
    </row>
    <row r="188" spans="1:8" x14ac:dyDescent="0.3">
      <c r="A188" t="s">
        <v>197</v>
      </c>
      <c r="B188">
        <v>2</v>
      </c>
      <c r="C188">
        <v>557.53</v>
      </c>
      <c r="D188">
        <v>549.99</v>
      </c>
      <c r="E188">
        <v>522</v>
      </c>
      <c r="F188">
        <v>1079.53</v>
      </c>
      <c r="G188">
        <v>99.49</v>
      </c>
      <c r="H188" t="s">
        <v>81</v>
      </c>
    </row>
    <row r="189" spans="1:8" x14ac:dyDescent="0.3">
      <c r="A189" t="s">
        <v>198</v>
      </c>
      <c r="B189">
        <v>48</v>
      </c>
      <c r="C189">
        <v>9.58</v>
      </c>
      <c r="D189">
        <v>7</v>
      </c>
      <c r="E189">
        <v>1012</v>
      </c>
      <c r="F189">
        <v>1021.58</v>
      </c>
      <c r="G189">
        <v>99.5</v>
      </c>
      <c r="H189" t="s">
        <v>81</v>
      </c>
    </row>
    <row r="190" spans="1:8" x14ac:dyDescent="0.3">
      <c r="A190" t="s">
        <v>199</v>
      </c>
      <c r="B190">
        <v>40</v>
      </c>
      <c r="C190">
        <v>1021.17</v>
      </c>
      <c r="D190">
        <v>892.58</v>
      </c>
      <c r="E190">
        <v>0</v>
      </c>
      <c r="F190">
        <v>1021.17</v>
      </c>
      <c r="G190">
        <v>99.51</v>
      </c>
      <c r="H190" t="s">
        <v>81</v>
      </c>
    </row>
    <row r="191" spans="1:8" x14ac:dyDescent="0.3">
      <c r="A191" t="s">
        <v>200</v>
      </c>
      <c r="B191">
        <v>21</v>
      </c>
      <c r="C191">
        <v>907.03</v>
      </c>
      <c r="D191">
        <v>1167</v>
      </c>
      <c r="E191">
        <v>106</v>
      </c>
      <c r="F191">
        <v>1013.03</v>
      </c>
      <c r="G191">
        <v>99.52</v>
      </c>
      <c r="H191" t="s">
        <v>81</v>
      </c>
    </row>
    <row r="192" spans="1:8" x14ac:dyDescent="0.3">
      <c r="A192" t="s">
        <v>201</v>
      </c>
      <c r="B192">
        <v>178</v>
      </c>
      <c r="C192">
        <v>2.04</v>
      </c>
      <c r="D192">
        <v>1</v>
      </c>
      <c r="E192">
        <v>994.92</v>
      </c>
      <c r="F192">
        <v>996.96</v>
      </c>
      <c r="G192">
        <v>99.53</v>
      </c>
      <c r="H192" t="s">
        <v>81</v>
      </c>
    </row>
    <row r="193" spans="1:8" x14ac:dyDescent="0.3">
      <c r="A193" t="s">
        <v>202</v>
      </c>
      <c r="B193">
        <v>28</v>
      </c>
      <c r="C193">
        <v>23.16</v>
      </c>
      <c r="D193">
        <v>27.67</v>
      </c>
      <c r="E193">
        <v>948</v>
      </c>
      <c r="F193">
        <v>971.16</v>
      </c>
      <c r="G193">
        <v>99.53</v>
      </c>
      <c r="H193" t="s">
        <v>81</v>
      </c>
    </row>
    <row r="194" spans="1:8" x14ac:dyDescent="0.3">
      <c r="A194" t="s">
        <v>203</v>
      </c>
      <c r="B194">
        <v>4</v>
      </c>
      <c r="C194">
        <v>122.63</v>
      </c>
      <c r="D194">
        <v>133</v>
      </c>
      <c r="E194">
        <v>819.75</v>
      </c>
      <c r="F194">
        <v>942.38</v>
      </c>
      <c r="G194">
        <v>99.54</v>
      </c>
      <c r="H194" t="s">
        <v>81</v>
      </c>
    </row>
    <row r="195" spans="1:8" x14ac:dyDescent="0.3">
      <c r="A195" t="s">
        <v>204</v>
      </c>
      <c r="B195">
        <v>79</v>
      </c>
      <c r="C195">
        <v>253.11</v>
      </c>
      <c r="D195">
        <v>317.25</v>
      </c>
      <c r="E195">
        <v>675.92</v>
      </c>
      <c r="F195">
        <v>929.03</v>
      </c>
      <c r="G195">
        <v>99.55</v>
      </c>
      <c r="H195" t="s">
        <v>81</v>
      </c>
    </row>
    <row r="196" spans="1:8" x14ac:dyDescent="0.3">
      <c r="A196" t="s">
        <v>205</v>
      </c>
      <c r="B196">
        <v>1</v>
      </c>
      <c r="C196">
        <v>164.24</v>
      </c>
      <c r="D196">
        <v>156</v>
      </c>
      <c r="E196">
        <v>743.75</v>
      </c>
      <c r="F196">
        <v>907.99</v>
      </c>
      <c r="G196">
        <v>99.56</v>
      </c>
      <c r="H196" t="s">
        <v>81</v>
      </c>
    </row>
    <row r="197" spans="1:8" x14ac:dyDescent="0.3">
      <c r="A197" t="s">
        <v>206</v>
      </c>
      <c r="B197">
        <v>9</v>
      </c>
      <c r="C197">
        <v>438.83</v>
      </c>
      <c r="D197">
        <v>447.26</v>
      </c>
      <c r="E197">
        <v>455.92</v>
      </c>
      <c r="F197">
        <v>894.75</v>
      </c>
      <c r="G197">
        <v>99.57</v>
      </c>
      <c r="H197" t="s">
        <v>81</v>
      </c>
    </row>
    <row r="198" spans="1:8" x14ac:dyDescent="0.3">
      <c r="A198" t="s">
        <v>207</v>
      </c>
      <c r="B198">
        <v>29</v>
      </c>
      <c r="C198">
        <v>876.39</v>
      </c>
      <c r="D198">
        <v>519.75</v>
      </c>
      <c r="E198">
        <v>6</v>
      </c>
      <c r="F198">
        <v>882.39</v>
      </c>
      <c r="G198">
        <v>99.58</v>
      </c>
      <c r="H198" t="s">
        <v>81</v>
      </c>
    </row>
    <row r="199" spans="1:8" x14ac:dyDescent="0.3">
      <c r="A199" t="s">
        <v>208</v>
      </c>
      <c r="B199">
        <v>78</v>
      </c>
      <c r="C199">
        <v>96.79</v>
      </c>
      <c r="D199">
        <v>95.33</v>
      </c>
      <c r="E199">
        <v>755.83</v>
      </c>
      <c r="F199">
        <v>852.62</v>
      </c>
      <c r="G199">
        <v>99.58</v>
      </c>
      <c r="H199" t="s">
        <v>81</v>
      </c>
    </row>
    <row r="200" spans="1:8" x14ac:dyDescent="0.3">
      <c r="A200" t="s">
        <v>209</v>
      </c>
      <c r="B200">
        <v>80</v>
      </c>
      <c r="C200">
        <v>839.23</v>
      </c>
      <c r="D200">
        <v>624.28</v>
      </c>
      <c r="E200">
        <v>13</v>
      </c>
      <c r="F200">
        <v>852.23</v>
      </c>
      <c r="G200">
        <v>99.59</v>
      </c>
      <c r="H200" t="s">
        <v>81</v>
      </c>
    </row>
    <row r="201" spans="1:8" x14ac:dyDescent="0.3">
      <c r="A201" t="s">
        <v>210</v>
      </c>
      <c r="B201">
        <v>9</v>
      </c>
      <c r="C201">
        <v>492.05</v>
      </c>
      <c r="D201">
        <v>445.51</v>
      </c>
      <c r="E201">
        <v>345</v>
      </c>
      <c r="F201">
        <v>837.05</v>
      </c>
      <c r="G201">
        <v>99.6</v>
      </c>
      <c r="H201" t="s">
        <v>81</v>
      </c>
    </row>
    <row r="202" spans="1:8" x14ac:dyDescent="0.3">
      <c r="A202" t="s">
        <v>211</v>
      </c>
      <c r="B202">
        <v>134</v>
      </c>
      <c r="C202">
        <v>57.05</v>
      </c>
      <c r="D202">
        <v>51.92</v>
      </c>
      <c r="E202">
        <v>764.67</v>
      </c>
      <c r="F202">
        <v>821.72</v>
      </c>
      <c r="G202">
        <v>99.61</v>
      </c>
      <c r="H202" t="s">
        <v>81</v>
      </c>
    </row>
    <row r="203" spans="1:8" x14ac:dyDescent="0.3">
      <c r="A203" t="s">
        <v>212</v>
      </c>
      <c r="B203">
        <v>50</v>
      </c>
      <c r="C203">
        <v>0</v>
      </c>
      <c r="D203">
        <v>0</v>
      </c>
      <c r="E203">
        <v>800</v>
      </c>
      <c r="F203">
        <v>800</v>
      </c>
      <c r="G203">
        <v>99.61</v>
      </c>
      <c r="H203" t="s">
        <v>81</v>
      </c>
    </row>
    <row r="204" spans="1:8" x14ac:dyDescent="0.3">
      <c r="A204" t="s">
        <v>213</v>
      </c>
      <c r="B204">
        <v>213</v>
      </c>
      <c r="C204">
        <v>12.2</v>
      </c>
      <c r="D204">
        <v>0</v>
      </c>
      <c r="E204">
        <v>784.75</v>
      </c>
      <c r="F204">
        <v>796.95</v>
      </c>
      <c r="G204">
        <v>99.62</v>
      </c>
      <c r="H204" t="s">
        <v>81</v>
      </c>
    </row>
    <row r="205" spans="1:8" x14ac:dyDescent="0.3">
      <c r="A205" t="s">
        <v>214</v>
      </c>
      <c r="B205">
        <v>13</v>
      </c>
      <c r="C205">
        <v>118.73</v>
      </c>
      <c r="D205">
        <v>135</v>
      </c>
      <c r="E205">
        <v>656.75</v>
      </c>
      <c r="F205">
        <v>775.48</v>
      </c>
      <c r="G205">
        <v>99.63</v>
      </c>
      <c r="H205" t="s">
        <v>81</v>
      </c>
    </row>
    <row r="206" spans="1:8" x14ac:dyDescent="0.3">
      <c r="A206" t="s">
        <v>215</v>
      </c>
      <c r="B206">
        <v>3</v>
      </c>
      <c r="C206">
        <v>276.27999999999997</v>
      </c>
      <c r="D206">
        <v>283.33999999999997</v>
      </c>
      <c r="E206">
        <v>491</v>
      </c>
      <c r="F206">
        <v>767.28</v>
      </c>
      <c r="G206">
        <v>99.63</v>
      </c>
      <c r="H206" t="s">
        <v>81</v>
      </c>
    </row>
    <row r="207" spans="1:8" x14ac:dyDescent="0.3">
      <c r="A207" t="s">
        <v>216</v>
      </c>
      <c r="B207">
        <v>3</v>
      </c>
      <c r="C207">
        <v>752.54</v>
      </c>
      <c r="D207">
        <v>975.92</v>
      </c>
      <c r="E207">
        <v>0</v>
      </c>
      <c r="F207">
        <v>752.54</v>
      </c>
      <c r="G207">
        <v>99.64</v>
      </c>
      <c r="H207" t="s">
        <v>81</v>
      </c>
    </row>
    <row r="208" spans="1:8" x14ac:dyDescent="0.3">
      <c r="A208" t="s">
        <v>217</v>
      </c>
      <c r="B208">
        <v>37</v>
      </c>
      <c r="C208">
        <v>700.98</v>
      </c>
      <c r="D208">
        <v>815</v>
      </c>
      <c r="E208">
        <v>48</v>
      </c>
      <c r="F208">
        <v>748.98</v>
      </c>
      <c r="G208">
        <v>99.65</v>
      </c>
      <c r="H208" t="s">
        <v>81</v>
      </c>
    </row>
    <row r="209" spans="1:8" x14ac:dyDescent="0.3">
      <c r="A209" t="s">
        <v>218</v>
      </c>
      <c r="B209">
        <v>47</v>
      </c>
      <c r="C209">
        <v>518.92999999999995</v>
      </c>
      <c r="D209">
        <v>392.83</v>
      </c>
      <c r="E209">
        <v>218</v>
      </c>
      <c r="F209">
        <v>736.93</v>
      </c>
      <c r="G209">
        <v>99.65</v>
      </c>
      <c r="H209" t="s">
        <v>81</v>
      </c>
    </row>
    <row r="210" spans="1:8" x14ac:dyDescent="0.3">
      <c r="A210" t="s">
        <v>219</v>
      </c>
      <c r="B210">
        <v>2</v>
      </c>
      <c r="C210">
        <v>349.8</v>
      </c>
      <c r="D210">
        <v>354</v>
      </c>
      <c r="E210">
        <v>385.76</v>
      </c>
      <c r="F210">
        <v>735.56</v>
      </c>
      <c r="G210">
        <v>99.66</v>
      </c>
      <c r="H210" t="s">
        <v>81</v>
      </c>
    </row>
    <row r="211" spans="1:8" x14ac:dyDescent="0.3">
      <c r="A211" t="s">
        <v>220</v>
      </c>
      <c r="B211">
        <v>115</v>
      </c>
      <c r="C211">
        <v>3.65</v>
      </c>
      <c r="D211">
        <v>4</v>
      </c>
      <c r="E211">
        <v>725.83</v>
      </c>
      <c r="F211">
        <v>729.48</v>
      </c>
      <c r="G211">
        <v>99.67</v>
      </c>
      <c r="H211" t="s">
        <v>81</v>
      </c>
    </row>
    <row r="212" spans="1:8" x14ac:dyDescent="0.3">
      <c r="A212" t="s">
        <v>221</v>
      </c>
      <c r="B212">
        <v>74</v>
      </c>
      <c r="C212">
        <v>279.3</v>
      </c>
      <c r="D212">
        <v>285</v>
      </c>
      <c r="E212">
        <v>440</v>
      </c>
      <c r="F212">
        <v>719.3</v>
      </c>
      <c r="G212">
        <v>99.67</v>
      </c>
      <c r="H212" t="s">
        <v>81</v>
      </c>
    </row>
    <row r="213" spans="1:8" x14ac:dyDescent="0.3">
      <c r="A213" t="s">
        <v>222</v>
      </c>
      <c r="B213">
        <v>62</v>
      </c>
      <c r="C213">
        <v>180.45</v>
      </c>
      <c r="D213">
        <v>136.52000000000001</v>
      </c>
      <c r="E213">
        <v>490.33</v>
      </c>
      <c r="F213">
        <v>670.78</v>
      </c>
      <c r="G213">
        <v>99.68</v>
      </c>
      <c r="H213" t="s">
        <v>81</v>
      </c>
    </row>
    <row r="214" spans="1:8" x14ac:dyDescent="0.3">
      <c r="A214" t="s">
        <v>223</v>
      </c>
      <c r="B214">
        <v>12</v>
      </c>
      <c r="C214">
        <v>11.1</v>
      </c>
      <c r="D214">
        <v>2.92</v>
      </c>
      <c r="E214">
        <v>645</v>
      </c>
      <c r="F214">
        <v>656.1</v>
      </c>
      <c r="G214">
        <v>99.69</v>
      </c>
      <c r="H214" t="s">
        <v>81</v>
      </c>
    </row>
    <row r="215" spans="1:8" x14ac:dyDescent="0.3">
      <c r="A215" t="s">
        <v>224</v>
      </c>
      <c r="B215">
        <v>19</v>
      </c>
      <c r="C215">
        <v>55.18</v>
      </c>
      <c r="D215">
        <v>58.59</v>
      </c>
      <c r="E215">
        <v>553.59</v>
      </c>
      <c r="F215">
        <v>608.77</v>
      </c>
      <c r="G215">
        <v>99.69</v>
      </c>
      <c r="H215" t="s">
        <v>81</v>
      </c>
    </row>
    <row r="216" spans="1:8" x14ac:dyDescent="0.3">
      <c r="A216" t="s">
        <v>225</v>
      </c>
      <c r="B216">
        <v>76</v>
      </c>
      <c r="C216">
        <v>84.88</v>
      </c>
      <c r="D216">
        <v>38.340000000000003</v>
      </c>
      <c r="E216">
        <v>508.83</v>
      </c>
      <c r="F216">
        <v>593.71</v>
      </c>
      <c r="G216">
        <v>99.7</v>
      </c>
      <c r="H216" t="s">
        <v>81</v>
      </c>
    </row>
    <row r="217" spans="1:8" x14ac:dyDescent="0.3">
      <c r="A217" t="s">
        <v>226</v>
      </c>
      <c r="B217">
        <v>44</v>
      </c>
      <c r="C217">
        <v>30.02</v>
      </c>
      <c r="D217">
        <v>25</v>
      </c>
      <c r="E217">
        <v>525</v>
      </c>
      <c r="F217">
        <v>555.02</v>
      </c>
      <c r="G217">
        <v>99.7</v>
      </c>
      <c r="H217" t="s">
        <v>81</v>
      </c>
    </row>
    <row r="218" spans="1:8" x14ac:dyDescent="0.3">
      <c r="A218" t="s">
        <v>227</v>
      </c>
      <c r="B218">
        <v>5</v>
      </c>
      <c r="C218">
        <v>454.29</v>
      </c>
      <c r="D218">
        <v>479.09</v>
      </c>
      <c r="E218">
        <v>88</v>
      </c>
      <c r="F218">
        <v>542.29</v>
      </c>
      <c r="G218">
        <v>99.71</v>
      </c>
      <c r="H218" t="s">
        <v>81</v>
      </c>
    </row>
    <row r="219" spans="1:8" x14ac:dyDescent="0.3">
      <c r="A219" t="s">
        <v>228</v>
      </c>
      <c r="B219">
        <v>28</v>
      </c>
      <c r="C219">
        <v>0</v>
      </c>
      <c r="D219">
        <v>0</v>
      </c>
      <c r="E219">
        <v>540.75</v>
      </c>
      <c r="F219">
        <v>540.75</v>
      </c>
      <c r="G219">
        <v>99.71</v>
      </c>
      <c r="H219" t="s">
        <v>81</v>
      </c>
    </row>
    <row r="220" spans="1:8" x14ac:dyDescent="0.3">
      <c r="A220" t="s">
        <v>229</v>
      </c>
      <c r="B220">
        <v>27</v>
      </c>
      <c r="C220">
        <v>119.55</v>
      </c>
      <c r="D220">
        <v>123</v>
      </c>
      <c r="E220">
        <v>420.92</v>
      </c>
      <c r="F220">
        <v>540.47</v>
      </c>
      <c r="G220">
        <v>99.72</v>
      </c>
      <c r="H220" t="s">
        <v>81</v>
      </c>
    </row>
    <row r="221" spans="1:8" x14ac:dyDescent="0.3">
      <c r="A221" t="s">
        <v>230</v>
      </c>
      <c r="B221">
        <v>3</v>
      </c>
      <c r="C221">
        <v>13.25</v>
      </c>
      <c r="D221">
        <v>15</v>
      </c>
      <c r="E221">
        <v>526</v>
      </c>
      <c r="F221">
        <v>539.25</v>
      </c>
      <c r="G221">
        <v>99.72</v>
      </c>
      <c r="H221" t="s">
        <v>81</v>
      </c>
    </row>
    <row r="222" spans="1:8" x14ac:dyDescent="0.3">
      <c r="A222" t="s">
        <v>231</v>
      </c>
      <c r="B222">
        <v>23</v>
      </c>
      <c r="C222">
        <v>1.89</v>
      </c>
      <c r="D222">
        <v>1</v>
      </c>
      <c r="E222">
        <v>534</v>
      </c>
      <c r="F222">
        <v>535.89</v>
      </c>
      <c r="G222">
        <v>99.73</v>
      </c>
      <c r="H222" t="s">
        <v>81</v>
      </c>
    </row>
    <row r="223" spans="1:8" x14ac:dyDescent="0.3">
      <c r="A223" t="s">
        <v>232</v>
      </c>
      <c r="B223">
        <v>10</v>
      </c>
      <c r="C223">
        <v>144.69</v>
      </c>
      <c r="D223">
        <v>165</v>
      </c>
      <c r="E223">
        <v>383</v>
      </c>
      <c r="F223">
        <v>527.69000000000005</v>
      </c>
      <c r="G223">
        <v>99.73</v>
      </c>
      <c r="H223" t="s">
        <v>81</v>
      </c>
    </row>
    <row r="224" spans="1:8" x14ac:dyDescent="0.3">
      <c r="A224" t="s">
        <v>233</v>
      </c>
      <c r="B224">
        <v>7</v>
      </c>
      <c r="C224">
        <v>1.65</v>
      </c>
      <c r="D224">
        <v>0</v>
      </c>
      <c r="E224">
        <v>508.79</v>
      </c>
      <c r="F224">
        <v>510.44</v>
      </c>
      <c r="G224">
        <v>99.73</v>
      </c>
      <c r="H224" t="s">
        <v>81</v>
      </c>
    </row>
    <row r="225" spans="1:8" x14ac:dyDescent="0.3">
      <c r="A225" t="s">
        <v>234</v>
      </c>
      <c r="B225">
        <v>4</v>
      </c>
      <c r="C225">
        <v>91.49</v>
      </c>
      <c r="D225">
        <v>88</v>
      </c>
      <c r="E225">
        <v>417.5</v>
      </c>
      <c r="F225">
        <v>508.99</v>
      </c>
      <c r="G225">
        <v>99.74</v>
      </c>
      <c r="H225" t="s">
        <v>81</v>
      </c>
    </row>
    <row r="226" spans="1:8" x14ac:dyDescent="0.3">
      <c r="A226" t="s">
        <v>235</v>
      </c>
      <c r="B226">
        <v>14</v>
      </c>
      <c r="C226">
        <v>327.57</v>
      </c>
      <c r="D226">
        <v>268.68</v>
      </c>
      <c r="E226">
        <v>173.92</v>
      </c>
      <c r="F226">
        <v>501.49</v>
      </c>
      <c r="G226">
        <v>99.74</v>
      </c>
      <c r="H226" t="s">
        <v>81</v>
      </c>
    </row>
    <row r="227" spans="1:8" x14ac:dyDescent="0.3">
      <c r="A227" t="s">
        <v>236</v>
      </c>
      <c r="B227">
        <v>22</v>
      </c>
      <c r="C227">
        <v>276.39999999999998</v>
      </c>
      <c r="D227">
        <v>285</v>
      </c>
      <c r="E227">
        <v>217</v>
      </c>
      <c r="F227">
        <v>493.4</v>
      </c>
      <c r="G227">
        <v>99.75</v>
      </c>
      <c r="H227" t="s">
        <v>81</v>
      </c>
    </row>
    <row r="228" spans="1:8" x14ac:dyDescent="0.3">
      <c r="A228" t="s">
        <v>237</v>
      </c>
      <c r="B228">
        <v>17</v>
      </c>
      <c r="C228">
        <v>271.76</v>
      </c>
      <c r="D228">
        <v>210.49</v>
      </c>
      <c r="E228">
        <v>213.67</v>
      </c>
      <c r="F228">
        <v>485.43</v>
      </c>
      <c r="G228">
        <v>99.75</v>
      </c>
      <c r="H228" t="s">
        <v>81</v>
      </c>
    </row>
    <row r="229" spans="1:8" x14ac:dyDescent="0.3">
      <c r="A229" t="s">
        <v>238</v>
      </c>
      <c r="B229">
        <v>3</v>
      </c>
      <c r="C229">
        <v>148.25</v>
      </c>
      <c r="D229">
        <v>190</v>
      </c>
      <c r="E229">
        <v>336.25</v>
      </c>
      <c r="F229">
        <v>484.5</v>
      </c>
      <c r="G229">
        <v>99.76</v>
      </c>
      <c r="H229" t="s">
        <v>81</v>
      </c>
    </row>
    <row r="230" spans="1:8" x14ac:dyDescent="0.3">
      <c r="A230" t="s">
        <v>239</v>
      </c>
      <c r="B230">
        <v>46</v>
      </c>
      <c r="C230">
        <v>297.68</v>
      </c>
      <c r="D230">
        <v>345</v>
      </c>
      <c r="E230">
        <v>183.92</v>
      </c>
      <c r="F230">
        <v>481.6</v>
      </c>
      <c r="G230">
        <v>99.76</v>
      </c>
      <c r="H230" t="s">
        <v>81</v>
      </c>
    </row>
    <row r="231" spans="1:8" x14ac:dyDescent="0.3">
      <c r="A231" t="s">
        <v>240</v>
      </c>
      <c r="B231">
        <v>16</v>
      </c>
      <c r="C231">
        <v>125.23</v>
      </c>
      <c r="D231">
        <v>120</v>
      </c>
      <c r="E231">
        <v>355.96</v>
      </c>
      <c r="F231">
        <v>481.19</v>
      </c>
      <c r="G231">
        <v>99.77</v>
      </c>
      <c r="H231" t="s">
        <v>81</v>
      </c>
    </row>
    <row r="232" spans="1:8" x14ac:dyDescent="0.3">
      <c r="A232" t="s">
        <v>241</v>
      </c>
      <c r="B232">
        <v>41</v>
      </c>
      <c r="C232">
        <v>22.55</v>
      </c>
      <c r="D232">
        <v>17</v>
      </c>
      <c r="E232">
        <v>458</v>
      </c>
      <c r="F232">
        <v>480.55</v>
      </c>
      <c r="G232">
        <v>99.77</v>
      </c>
      <c r="H232" t="s">
        <v>81</v>
      </c>
    </row>
    <row r="233" spans="1:8" x14ac:dyDescent="0.3">
      <c r="A233" t="s">
        <v>242</v>
      </c>
      <c r="B233">
        <v>17</v>
      </c>
      <c r="C233">
        <v>375.51</v>
      </c>
      <c r="D233">
        <v>368.83</v>
      </c>
      <c r="E233">
        <v>89</v>
      </c>
      <c r="F233">
        <v>464.51</v>
      </c>
      <c r="G233">
        <v>99.77</v>
      </c>
      <c r="H233" t="s">
        <v>81</v>
      </c>
    </row>
    <row r="234" spans="1:8" x14ac:dyDescent="0.3">
      <c r="A234" t="s">
        <v>243</v>
      </c>
      <c r="B234">
        <v>14</v>
      </c>
      <c r="C234">
        <v>431.52</v>
      </c>
      <c r="D234">
        <v>378.74</v>
      </c>
      <c r="E234">
        <v>20</v>
      </c>
      <c r="F234">
        <v>451.52</v>
      </c>
      <c r="G234">
        <v>99.78</v>
      </c>
      <c r="H234" t="s">
        <v>81</v>
      </c>
    </row>
    <row r="235" spans="1:8" x14ac:dyDescent="0.3">
      <c r="A235" t="s">
        <v>244</v>
      </c>
      <c r="B235">
        <v>13</v>
      </c>
      <c r="C235">
        <v>105.35</v>
      </c>
      <c r="D235">
        <v>73.92</v>
      </c>
      <c r="E235">
        <v>323</v>
      </c>
      <c r="F235">
        <v>428.35</v>
      </c>
      <c r="G235">
        <v>99.78</v>
      </c>
      <c r="H235" t="s">
        <v>81</v>
      </c>
    </row>
    <row r="236" spans="1:8" x14ac:dyDescent="0.3">
      <c r="A236" t="s">
        <v>245</v>
      </c>
      <c r="B236">
        <v>9</v>
      </c>
      <c r="C236">
        <v>344.56</v>
      </c>
      <c r="D236">
        <v>326.19</v>
      </c>
      <c r="E236">
        <v>75</v>
      </c>
      <c r="F236">
        <v>419.56</v>
      </c>
      <c r="G236">
        <v>99.79</v>
      </c>
      <c r="H236" t="s">
        <v>81</v>
      </c>
    </row>
    <row r="237" spans="1:8" x14ac:dyDescent="0.3">
      <c r="A237" t="s">
        <v>246</v>
      </c>
      <c r="B237">
        <v>8</v>
      </c>
      <c r="C237">
        <v>165.17</v>
      </c>
      <c r="D237">
        <v>131.84</v>
      </c>
      <c r="E237">
        <v>245</v>
      </c>
      <c r="F237">
        <v>410.17</v>
      </c>
      <c r="G237">
        <v>99.79</v>
      </c>
      <c r="H237" t="s">
        <v>81</v>
      </c>
    </row>
    <row r="238" spans="1:8" x14ac:dyDescent="0.3">
      <c r="A238" t="s">
        <v>247</v>
      </c>
      <c r="B238">
        <v>3</v>
      </c>
      <c r="C238">
        <v>173.66</v>
      </c>
      <c r="D238">
        <v>183</v>
      </c>
      <c r="E238">
        <v>226</v>
      </c>
      <c r="F238">
        <v>399.66</v>
      </c>
      <c r="G238">
        <v>99.79</v>
      </c>
      <c r="H238" t="s">
        <v>81</v>
      </c>
    </row>
    <row r="239" spans="1:8" x14ac:dyDescent="0.3">
      <c r="A239" t="s">
        <v>248</v>
      </c>
      <c r="B239">
        <v>8</v>
      </c>
      <c r="C239">
        <v>336.62</v>
      </c>
      <c r="D239">
        <v>346.83</v>
      </c>
      <c r="E239">
        <v>45</v>
      </c>
      <c r="F239">
        <v>381.62</v>
      </c>
      <c r="G239">
        <v>99.8</v>
      </c>
      <c r="H239" t="s">
        <v>81</v>
      </c>
    </row>
    <row r="240" spans="1:8" x14ac:dyDescent="0.3">
      <c r="A240" t="s">
        <v>249</v>
      </c>
      <c r="B240">
        <v>20</v>
      </c>
      <c r="C240">
        <v>373.41</v>
      </c>
      <c r="D240">
        <v>389.83</v>
      </c>
      <c r="E240">
        <v>0</v>
      </c>
      <c r="F240">
        <v>373.41</v>
      </c>
      <c r="G240">
        <v>99.8</v>
      </c>
      <c r="H240" t="s">
        <v>81</v>
      </c>
    </row>
    <row r="241" spans="1:8" x14ac:dyDescent="0.3">
      <c r="A241" t="s">
        <v>250</v>
      </c>
      <c r="B241">
        <v>7</v>
      </c>
      <c r="C241">
        <v>117.5</v>
      </c>
      <c r="D241">
        <v>138</v>
      </c>
      <c r="E241">
        <v>242</v>
      </c>
      <c r="F241">
        <v>359.5</v>
      </c>
      <c r="G241">
        <v>99.8</v>
      </c>
      <c r="H241" t="s">
        <v>81</v>
      </c>
    </row>
    <row r="242" spans="1:8" x14ac:dyDescent="0.3">
      <c r="A242" t="s">
        <v>251</v>
      </c>
      <c r="B242">
        <v>8</v>
      </c>
      <c r="C242">
        <v>5.5</v>
      </c>
      <c r="D242">
        <v>9</v>
      </c>
      <c r="E242">
        <v>349.42</v>
      </c>
      <c r="F242">
        <v>354.92</v>
      </c>
      <c r="G242">
        <v>99.81</v>
      </c>
      <c r="H242" t="s">
        <v>81</v>
      </c>
    </row>
    <row r="243" spans="1:8" x14ac:dyDescent="0.3">
      <c r="A243" t="s">
        <v>252</v>
      </c>
      <c r="B243">
        <v>7</v>
      </c>
      <c r="C243">
        <v>174.9</v>
      </c>
      <c r="D243">
        <v>131.91999999999999</v>
      </c>
      <c r="E243">
        <v>177</v>
      </c>
      <c r="F243">
        <v>351.9</v>
      </c>
      <c r="G243">
        <v>99.81</v>
      </c>
      <c r="H243" t="s">
        <v>81</v>
      </c>
    </row>
    <row r="244" spans="1:8" x14ac:dyDescent="0.3">
      <c r="A244" t="s">
        <v>253</v>
      </c>
      <c r="B244">
        <v>34</v>
      </c>
      <c r="C244">
        <v>63.77</v>
      </c>
      <c r="D244">
        <v>12.84</v>
      </c>
      <c r="E244">
        <v>286.92</v>
      </c>
      <c r="F244">
        <v>350.69</v>
      </c>
      <c r="G244">
        <v>99.81</v>
      </c>
      <c r="H244" t="s">
        <v>81</v>
      </c>
    </row>
    <row r="245" spans="1:8" x14ac:dyDescent="0.3">
      <c r="A245" t="s">
        <v>254</v>
      </c>
      <c r="B245">
        <v>6</v>
      </c>
      <c r="C245">
        <v>194.93</v>
      </c>
      <c r="D245">
        <v>200</v>
      </c>
      <c r="E245">
        <v>145</v>
      </c>
      <c r="F245">
        <v>339.93</v>
      </c>
      <c r="G245">
        <v>99.82</v>
      </c>
      <c r="H245" t="s">
        <v>81</v>
      </c>
    </row>
    <row r="246" spans="1:8" x14ac:dyDescent="0.3">
      <c r="A246" t="s">
        <v>255</v>
      </c>
      <c r="B246">
        <v>10</v>
      </c>
      <c r="C246">
        <v>323.47000000000003</v>
      </c>
      <c r="D246">
        <v>519</v>
      </c>
      <c r="E246">
        <v>16</v>
      </c>
      <c r="F246">
        <v>339.47</v>
      </c>
      <c r="G246">
        <v>99.82</v>
      </c>
      <c r="H246" t="s">
        <v>81</v>
      </c>
    </row>
    <row r="247" spans="1:8" x14ac:dyDescent="0.3">
      <c r="A247" t="s">
        <v>256</v>
      </c>
      <c r="B247">
        <v>3</v>
      </c>
      <c r="C247">
        <v>34.04</v>
      </c>
      <c r="D247">
        <v>34</v>
      </c>
      <c r="E247">
        <v>300.5</v>
      </c>
      <c r="F247">
        <v>334.54</v>
      </c>
      <c r="G247">
        <v>99.82</v>
      </c>
      <c r="H247" t="s">
        <v>81</v>
      </c>
    </row>
    <row r="248" spans="1:8" x14ac:dyDescent="0.3">
      <c r="A248" t="s">
        <v>257</v>
      </c>
      <c r="B248">
        <v>10</v>
      </c>
      <c r="C248">
        <v>331.06</v>
      </c>
      <c r="D248">
        <v>78</v>
      </c>
      <c r="E248">
        <v>0</v>
      </c>
      <c r="F248">
        <v>331.06</v>
      </c>
      <c r="G248">
        <v>99.82</v>
      </c>
      <c r="H248" t="s">
        <v>81</v>
      </c>
    </row>
    <row r="249" spans="1:8" x14ac:dyDescent="0.3">
      <c r="A249" t="s">
        <v>258</v>
      </c>
      <c r="B249">
        <v>10</v>
      </c>
      <c r="C249">
        <v>5.95</v>
      </c>
      <c r="D249">
        <v>6</v>
      </c>
      <c r="E249">
        <v>318</v>
      </c>
      <c r="F249">
        <v>323.95</v>
      </c>
      <c r="G249">
        <v>99.83</v>
      </c>
      <c r="H249" t="s">
        <v>81</v>
      </c>
    </row>
    <row r="250" spans="1:8" x14ac:dyDescent="0.3">
      <c r="A250" t="s">
        <v>259</v>
      </c>
      <c r="B250">
        <v>6</v>
      </c>
      <c r="C250">
        <v>155.57</v>
      </c>
      <c r="D250">
        <v>156.41999999999999</v>
      </c>
      <c r="E250">
        <v>167</v>
      </c>
      <c r="F250">
        <v>322.57</v>
      </c>
      <c r="G250">
        <v>99.83</v>
      </c>
      <c r="H250" t="s">
        <v>81</v>
      </c>
    </row>
    <row r="251" spans="1:8" x14ac:dyDescent="0.3">
      <c r="A251" t="s">
        <v>260</v>
      </c>
      <c r="B251">
        <v>29</v>
      </c>
      <c r="C251">
        <v>4.4000000000000004</v>
      </c>
      <c r="D251">
        <v>2</v>
      </c>
      <c r="E251">
        <v>314</v>
      </c>
      <c r="F251">
        <v>318.39999999999998</v>
      </c>
      <c r="G251">
        <v>99.83</v>
      </c>
      <c r="H251" t="s">
        <v>81</v>
      </c>
    </row>
    <row r="252" spans="1:8" x14ac:dyDescent="0.3">
      <c r="A252" t="s">
        <v>261</v>
      </c>
      <c r="B252">
        <v>10</v>
      </c>
      <c r="C252">
        <v>316.7</v>
      </c>
      <c r="D252">
        <v>357</v>
      </c>
      <c r="E252">
        <v>0</v>
      </c>
      <c r="F252">
        <v>316.7</v>
      </c>
      <c r="G252">
        <v>99.84</v>
      </c>
      <c r="H252" t="s">
        <v>81</v>
      </c>
    </row>
    <row r="253" spans="1:8" x14ac:dyDescent="0.3">
      <c r="A253" t="s">
        <v>262</v>
      </c>
      <c r="B253">
        <v>29</v>
      </c>
      <c r="C253">
        <v>190.79</v>
      </c>
      <c r="D253">
        <v>230</v>
      </c>
      <c r="E253">
        <v>115</v>
      </c>
      <c r="F253">
        <v>305.79000000000002</v>
      </c>
      <c r="G253">
        <v>99.84</v>
      </c>
      <c r="H253" t="s">
        <v>81</v>
      </c>
    </row>
    <row r="254" spans="1:8" x14ac:dyDescent="0.3">
      <c r="A254" t="s">
        <v>263</v>
      </c>
      <c r="B254">
        <v>6</v>
      </c>
      <c r="C254">
        <v>274.18</v>
      </c>
      <c r="D254">
        <v>243.78</v>
      </c>
      <c r="E254">
        <v>29</v>
      </c>
      <c r="F254">
        <v>303.18</v>
      </c>
      <c r="G254">
        <v>99.84</v>
      </c>
      <c r="H254" t="s">
        <v>81</v>
      </c>
    </row>
    <row r="255" spans="1:8" x14ac:dyDescent="0.3">
      <c r="A255" t="s">
        <v>264</v>
      </c>
      <c r="B255">
        <v>12</v>
      </c>
      <c r="C255">
        <v>136.5</v>
      </c>
      <c r="D255">
        <v>147</v>
      </c>
      <c r="E255">
        <v>162</v>
      </c>
      <c r="F255">
        <v>298.5</v>
      </c>
      <c r="G255">
        <v>99.84</v>
      </c>
      <c r="H255" t="s">
        <v>81</v>
      </c>
    </row>
    <row r="256" spans="1:8" x14ac:dyDescent="0.3">
      <c r="A256" t="s">
        <v>265</v>
      </c>
      <c r="B256">
        <v>15</v>
      </c>
      <c r="C256">
        <v>0</v>
      </c>
      <c r="D256">
        <v>0</v>
      </c>
      <c r="E256">
        <v>290.75</v>
      </c>
      <c r="F256">
        <v>290.75</v>
      </c>
      <c r="G256">
        <v>99.85</v>
      </c>
      <c r="H256" t="s">
        <v>81</v>
      </c>
    </row>
    <row r="257" spans="1:8" x14ac:dyDescent="0.3">
      <c r="A257" t="s">
        <v>266</v>
      </c>
      <c r="B257">
        <v>5</v>
      </c>
      <c r="C257">
        <v>179.55</v>
      </c>
      <c r="D257">
        <v>182.92</v>
      </c>
      <c r="E257">
        <v>110</v>
      </c>
      <c r="F257">
        <v>289.55</v>
      </c>
      <c r="G257">
        <v>99.85</v>
      </c>
      <c r="H257" t="s">
        <v>81</v>
      </c>
    </row>
    <row r="258" spans="1:8" x14ac:dyDescent="0.3">
      <c r="A258" t="s">
        <v>267</v>
      </c>
      <c r="B258">
        <v>132</v>
      </c>
      <c r="C258">
        <v>0.64</v>
      </c>
      <c r="D258">
        <v>0</v>
      </c>
      <c r="E258">
        <v>288.66000000000003</v>
      </c>
      <c r="F258">
        <v>289.3</v>
      </c>
      <c r="G258">
        <v>99.85</v>
      </c>
      <c r="H258" t="s">
        <v>81</v>
      </c>
    </row>
    <row r="259" spans="1:8" x14ac:dyDescent="0.3">
      <c r="A259" t="s">
        <v>268</v>
      </c>
      <c r="B259">
        <v>45</v>
      </c>
      <c r="C259">
        <v>138.1</v>
      </c>
      <c r="D259">
        <v>174</v>
      </c>
      <c r="E259">
        <v>150</v>
      </c>
      <c r="F259">
        <v>288.10000000000002</v>
      </c>
      <c r="G259">
        <v>99.85</v>
      </c>
      <c r="H259" t="s">
        <v>81</v>
      </c>
    </row>
    <row r="260" spans="1:8" x14ac:dyDescent="0.3">
      <c r="A260" t="s">
        <v>269</v>
      </c>
      <c r="B260">
        <v>10</v>
      </c>
      <c r="C260">
        <v>287.3</v>
      </c>
      <c r="D260">
        <v>331.88</v>
      </c>
      <c r="E260">
        <v>0</v>
      </c>
      <c r="F260">
        <v>287.3</v>
      </c>
      <c r="G260">
        <v>99.86</v>
      </c>
      <c r="H260" t="s">
        <v>81</v>
      </c>
    </row>
    <row r="261" spans="1:8" x14ac:dyDescent="0.3">
      <c r="A261" t="s">
        <v>270</v>
      </c>
      <c r="B261">
        <v>8</v>
      </c>
      <c r="C261">
        <v>111.43</v>
      </c>
      <c r="D261">
        <v>150</v>
      </c>
      <c r="E261">
        <v>175.83</v>
      </c>
      <c r="F261">
        <v>287.26</v>
      </c>
      <c r="G261">
        <v>99.86</v>
      </c>
      <c r="H261" t="s">
        <v>81</v>
      </c>
    </row>
    <row r="262" spans="1:8" x14ac:dyDescent="0.3">
      <c r="A262" t="s">
        <v>271</v>
      </c>
      <c r="B262">
        <v>15</v>
      </c>
      <c r="C262">
        <v>0</v>
      </c>
      <c r="D262">
        <v>0</v>
      </c>
      <c r="E262">
        <v>280.49</v>
      </c>
      <c r="F262">
        <v>280.49</v>
      </c>
      <c r="G262">
        <v>99.86</v>
      </c>
      <c r="H262" t="s">
        <v>81</v>
      </c>
    </row>
    <row r="263" spans="1:8" x14ac:dyDescent="0.3">
      <c r="A263" t="s">
        <v>272</v>
      </c>
      <c r="B263">
        <v>11</v>
      </c>
      <c r="C263">
        <v>0</v>
      </c>
      <c r="D263">
        <v>0</v>
      </c>
      <c r="E263">
        <v>274.5</v>
      </c>
      <c r="F263">
        <v>274.5</v>
      </c>
      <c r="G263">
        <v>99.86</v>
      </c>
      <c r="H263" t="s">
        <v>81</v>
      </c>
    </row>
    <row r="264" spans="1:8" x14ac:dyDescent="0.3">
      <c r="A264" t="s">
        <v>273</v>
      </c>
      <c r="B264">
        <v>2</v>
      </c>
      <c r="C264">
        <v>0</v>
      </c>
      <c r="D264">
        <v>0</v>
      </c>
      <c r="E264">
        <v>273</v>
      </c>
      <c r="F264">
        <v>273</v>
      </c>
      <c r="G264">
        <v>99.87</v>
      </c>
      <c r="H264" t="s">
        <v>81</v>
      </c>
    </row>
    <row r="265" spans="1:8" x14ac:dyDescent="0.3">
      <c r="A265" t="s">
        <v>274</v>
      </c>
      <c r="B265">
        <v>15</v>
      </c>
      <c r="C265">
        <v>190.48</v>
      </c>
      <c r="D265">
        <v>227</v>
      </c>
      <c r="E265">
        <v>77</v>
      </c>
      <c r="F265">
        <v>267.48</v>
      </c>
      <c r="G265">
        <v>99.87</v>
      </c>
      <c r="H265" t="s">
        <v>81</v>
      </c>
    </row>
    <row r="266" spans="1:8" x14ac:dyDescent="0.3">
      <c r="A266" t="s">
        <v>275</v>
      </c>
      <c r="B266">
        <v>57</v>
      </c>
      <c r="C266">
        <v>28.28</v>
      </c>
      <c r="D266">
        <v>17.829999999999998</v>
      </c>
      <c r="E266">
        <v>231.83</v>
      </c>
      <c r="F266">
        <v>260.11</v>
      </c>
      <c r="G266">
        <v>99.87</v>
      </c>
      <c r="H266" t="s">
        <v>81</v>
      </c>
    </row>
    <row r="267" spans="1:8" x14ac:dyDescent="0.3">
      <c r="A267" t="s">
        <v>276</v>
      </c>
      <c r="B267">
        <v>6</v>
      </c>
      <c r="C267">
        <v>14.46</v>
      </c>
      <c r="D267">
        <v>12</v>
      </c>
      <c r="E267">
        <v>244</v>
      </c>
      <c r="F267">
        <v>258.45999999999998</v>
      </c>
      <c r="G267">
        <v>99.87</v>
      </c>
      <c r="H267" t="s">
        <v>81</v>
      </c>
    </row>
    <row r="268" spans="1:8" x14ac:dyDescent="0.3">
      <c r="A268" t="s">
        <v>277</v>
      </c>
      <c r="B268">
        <v>4</v>
      </c>
      <c r="C268">
        <v>250.22</v>
      </c>
      <c r="D268">
        <v>0</v>
      </c>
      <c r="E268">
        <v>0</v>
      </c>
      <c r="F268">
        <v>250.22</v>
      </c>
      <c r="G268">
        <v>99.88</v>
      </c>
      <c r="H268" t="s">
        <v>81</v>
      </c>
    </row>
    <row r="269" spans="1:8" x14ac:dyDescent="0.3">
      <c r="A269" t="s">
        <v>278</v>
      </c>
      <c r="B269">
        <v>6</v>
      </c>
      <c r="C269">
        <v>0</v>
      </c>
      <c r="D269">
        <v>0</v>
      </c>
      <c r="E269">
        <v>244.92</v>
      </c>
      <c r="F269">
        <v>244.92</v>
      </c>
      <c r="G269">
        <v>99.88</v>
      </c>
      <c r="H269" t="s">
        <v>81</v>
      </c>
    </row>
    <row r="270" spans="1:8" x14ac:dyDescent="0.3">
      <c r="A270" t="s">
        <v>279</v>
      </c>
      <c r="B270">
        <v>56</v>
      </c>
      <c r="C270">
        <v>38.369999999999997</v>
      </c>
      <c r="D270">
        <v>34.840000000000003</v>
      </c>
      <c r="E270">
        <v>197</v>
      </c>
      <c r="F270">
        <v>235.37</v>
      </c>
      <c r="G270">
        <v>99.88</v>
      </c>
      <c r="H270" t="s">
        <v>81</v>
      </c>
    </row>
    <row r="271" spans="1:8" x14ac:dyDescent="0.3">
      <c r="A271" t="s">
        <v>280</v>
      </c>
      <c r="B271">
        <v>16</v>
      </c>
      <c r="C271">
        <v>233.16</v>
      </c>
      <c r="D271">
        <v>223.83</v>
      </c>
      <c r="E271">
        <v>1</v>
      </c>
      <c r="F271">
        <v>234.16</v>
      </c>
      <c r="G271">
        <v>99.88</v>
      </c>
      <c r="H271" t="s">
        <v>81</v>
      </c>
    </row>
    <row r="272" spans="1:8" x14ac:dyDescent="0.3">
      <c r="A272" t="s">
        <v>281</v>
      </c>
      <c r="B272">
        <v>51</v>
      </c>
      <c r="C272">
        <v>55.12</v>
      </c>
      <c r="D272">
        <v>18.510000000000002</v>
      </c>
      <c r="E272">
        <v>177.92</v>
      </c>
      <c r="F272">
        <v>233.04</v>
      </c>
      <c r="G272">
        <v>99.88</v>
      </c>
      <c r="H272" t="s">
        <v>81</v>
      </c>
    </row>
    <row r="273" spans="1:8" x14ac:dyDescent="0.3">
      <c r="A273" t="s">
        <v>282</v>
      </c>
      <c r="B273">
        <v>35</v>
      </c>
      <c r="C273">
        <v>8.6300000000000008</v>
      </c>
      <c r="D273">
        <v>13</v>
      </c>
      <c r="E273">
        <v>224</v>
      </c>
      <c r="F273">
        <v>232.63</v>
      </c>
      <c r="G273">
        <v>99.89</v>
      </c>
      <c r="H273" t="s">
        <v>81</v>
      </c>
    </row>
    <row r="274" spans="1:8" x14ac:dyDescent="0.3">
      <c r="A274" t="s">
        <v>283</v>
      </c>
      <c r="B274">
        <v>12</v>
      </c>
      <c r="C274">
        <v>2.4</v>
      </c>
      <c r="D274">
        <v>5</v>
      </c>
      <c r="E274">
        <v>229</v>
      </c>
      <c r="F274">
        <v>231.4</v>
      </c>
      <c r="G274">
        <v>99.89</v>
      </c>
      <c r="H274" t="s">
        <v>81</v>
      </c>
    </row>
    <row r="275" spans="1:8" x14ac:dyDescent="0.3">
      <c r="A275" t="s">
        <v>284</v>
      </c>
      <c r="B275">
        <v>22</v>
      </c>
      <c r="C275">
        <v>225.79</v>
      </c>
      <c r="D275">
        <v>95.83</v>
      </c>
      <c r="E275">
        <v>1</v>
      </c>
      <c r="F275">
        <v>226.79</v>
      </c>
      <c r="G275">
        <v>99.89</v>
      </c>
      <c r="H275" t="s">
        <v>81</v>
      </c>
    </row>
    <row r="276" spans="1:8" x14ac:dyDescent="0.3">
      <c r="A276" t="s">
        <v>285</v>
      </c>
      <c r="B276">
        <v>46</v>
      </c>
      <c r="C276">
        <v>0.48</v>
      </c>
      <c r="D276">
        <v>0</v>
      </c>
      <c r="E276">
        <v>224</v>
      </c>
      <c r="F276">
        <v>224.48</v>
      </c>
      <c r="G276">
        <v>99.89</v>
      </c>
      <c r="H276" t="s">
        <v>81</v>
      </c>
    </row>
    <row r="277" spans="1:8" x14ac:dyDescent="0.3">
      <c r="A277" t="s">
        <v>286</v>
      </c>
      <c r="B277">
        <v>16</v>
      </c>
      <c r="C277">
        <v>192.44</v>
      </c>
      <c r="D277">
        <v>196.84</v>
      </c>
      <c r="E277">
        <v>26</v>
      </c>
      <c r="F277">
        <v>218.44</v>
      </c>
      <c r="G277">
        <v>99.9</v>
      </c>
      <c r="H277" t="s">
        <v>81</v>
      </c>
    </row>
    <row r="278" spans="1:8" x14ac:dyDescent="0.3">
      <c r="A278" t="s">
        <v>287</v>
      </c>
      <c r="B278">
        <v>5</v>
      </c>
      <c r="C278">
        <v>200.63</v>
      </c>
      <c r="D278">
        <v>233.33</v>
      </c>
      <c r="E278">
        <v>16</v>
      </c>
      <c r="F278">
        <v>216.63</v>
      </c>
      <c r="G278">
        <v>99.9</v>
      </c>
      <c r="H278" t="s">
        <v>81</v>
      </c>
    </row>
    <row r="279" spans="1:8" x14ac:dyDescent="0.3">
      <c r="A279" t="s">
        <v>288</v>
      </c>
      <c r="B279">
        <v>6</v>
      </c>
      <c r="C279">
        <v>13.24</v>
      </c>
      <c r="D279">
        <v>4.92</v>
      </c>
      <c r="E279">
        <v>197</v>
      </c>
      <c r="F279">
        <v>210.24</v>
      </c>
      <c r="G279">
        <v>99.9</v>
      </c>
      <c r="H279" t="s">
        <v>81</v>
      </c>
    </row>
    <row r="280" spans="1:8" x14ac:dyDescent="0.3">
      <c r="A280" t="s">
        <v>289</v>
      </c>
      <c r="B280">
        <v>31</v>
      </c>
      <c r="C280">
        <v>97.34</v>
      </c>
      <c r="D280">
        <v>107</v>
      </c>
      <c r="E280">
        <v>112.84</v>
      </c>
      <c r="F280">
        <v>210.18</v>
      </c>
      <c r="G280">
        <v>99.9</v>
      </c>
      <c r="H280" t="s">
        <v>81</v>
      </c>
    </row>
    <row r="281" spans="1:8" x14ac:dyDescent="0.3">
      <c r="A281" t="s">
        <v>290</v>
      </c>
      <c r="B281">
        <v>11</v>
      </c>
      <c r="C281">
        <v>49.13</v>
      </c>
      <c r="D281">
        <v>64</v>
      </c>
      <c r="E281">
        <v>155.5</v>
      </c>
      <c r="F281">
        <v>204.63</v>
      </c>
      <c r="G281">
        <v>99.9</v>
      </c>
      <c r="H281" t="s">
        <v>81</v>
      </c>
    </row>
    <row r="282" spans="1:8" x14ac:dyDescent="0.3">
      <c r="A282" t="s">
        <v>291</v>
      </c>
      <c r="B282">
        <v>6</v>
      </c>
      <c r="C282">
        <v>162.69999999999999</v>
      </c>
      <c r="D282">
        <v>110</v>
      </c>
      <c r="E282">
        <v>38</v>
      </c>
      <c r="F282">
        <v>200.7</v>
      </c>
      <c r="G282">
        <v>99.9</v>
      </c>
      <c r="H282" t="s">
        <v>81</v>
      </c>
    </row>
    <row r="283" spans="1:8" x14ac:dyDescent="0.3">
      <c r="A283" t="s">
        <v>292</v>
      </c>
      <c r="B283">
        <v>4</v>
      </c>
      <c r="C283">
        <v>0</v>
      </c>
      <c r="D283">
        <v>0</v>
      </c>
      <c r="E283">
        <v>198.92</v>
      </c>
      <c r="F283">
        <v>198.92</v>
      </c>
      <c r="G283">
        <v>99.91</v>
      </c>
      <c r="H283" t="s">
        <v>81</v>
      </c>
    </row>
    <row r="284" spans="1:8" x14ac:dyDescent="0.3">
      <c r="A284" t="s">
        <v>293</v>
      </c>
      <c r="B284">
        <v>12</v>
      </c>
      <c r="C284">
        <v>16.66</v>
      </c>
      <c r="D284">
        <v>27</v>
      </c>
      <c r="E284">
        <v>178</v>
      </c>
      <c r="F284">
        <v>194.66</v>
      </c>
      <c r="G284">
        <v>99.91</v>
      </c>
      <c r="H284" t="s">
        <v>81</v>
      </c>
    </row>
    <row r="285" spans="1:8" x14ac:dyDescent="0.3">
      <c r="A285" t="s">
        <v>294</v>
      </c>
      <c r="B285">
        <v>46</v>
      </c>
      <c r="C285">
        <v>9.17</v>
      </c>
      <c r="D285">
        <v>4</v>
      </c>
      <c r="E285">
        <v>183.92</v>
      </c>
      <c r="F285">
        <v>193.09</v>
      </c>
      <c r="G285">
        <v>99.91</v>
      </c>
      <c r="H285" t="s">
        <v>81</v>
      </c>
    </row>
    <row r="286" spans="1:8" x14ac:dyDescent="0.3">
      <c r="A286" t="s">
        <v>295</v>
      </c>
      <c r="B286">
        <v>38</v>
      </c>
      <c r="C286">
        <v>27.82</v>
      </c>
      <c r="D286">
        <v>18</v>
      </c>
      <c r="E286">
        <v>157</v>
      </c>
      <c r="F286">
        <v>184.82</v>
      </c>
      <c r="G286">
        <v>99.91</v>
      </c>
      <c r="H286" t="s">
        <v>81</v>
      </c>
    </row>
    <row r="287" spans="1:8" x14ac:dyDescent="0.3">
      <c r="A287" t="s">
        <v>296</v>
      </c>
      <c r="B287">
        <v>16</v>
      </c>
      <c r="C287">
        <v>175.09</v>
      </c>
      <c r="D287">
        <v>171</v>
      </c>
      <c r="E287">
        <v>7</v>
      </c>
      <c r="F287">
        <v>182.09</v>
      </c>
      <c r="G287">
        <v>99.91</v>
      </c>
      <c r="H287" t="s">
        <v>81</v>
      </c>
    </row>
    <row r="288" spans="1:8" x14ac:dyDescent="0.3">
      <c r="A288" t="s">
        <v>297</v>
      </c>
      <c r="B288">
        <v>22</v>
      </c>
      <c r="C288">
        <v>177.39</v>
      </c>
      <c r="D288">
        <v>26.67</v>
      </c>
      <c r="E288">
        <v>0</v>
      </c>
      <c r="F288">
        <v>177.39</v>
      </c>
      <c r="G288">
        <v>99.91</v>
      </c>
      <c r="H288" t="s">
        <v>81</v>
      </c>
    </row>
    <row r="289" spans="1:8" x14ac:dyDescent="0.3">
      <c r="A289" t="s">
        <v>298</v>
      </c>
      <c r="B289">
        <v>12</v>
      </c>
      <c r="C289">
        <v>163.36000000000001</v>
      </c>
      <c r="D289">
        <v>198</v>
      </c>
      <c r="E289">
        <v>13</v>
      </c>
      <c r="F289">
        <v>176.36</v>
      </c>
      <c r="G289">
        <v>99.92</v>
      </c>
      <c r="H289" t="s">
        <v>81</v>
      </c>
    </row>
    <row r="290" spans="1:8" x14ac:dyDescent="0.3">
      <c r="A290" t="s">
        <v>299</v>
      </c>
      <c r="B290">
        <v>4</v>
      </c>
      <c r="C290">
        <v>9.93</v>
      </c>
      <c r="D290">
        <v>24</v>
      </c>
      <c r="E290">
        <v>161.91999999999999</v>
      </c>
      <c r="F290">
        <v>171.85</v>
      </c>
      <c r="G290">
        <v>99.92</v>
      </c>
      <c r="H290" t="s">
        <v>81</v>
      </c>
    </row>
    <row r="291" spans="1:8" x14ac:dyDescent="0.3">
      <c r="A291" t="s">
        <v>300</v>
      </c>
      <c r="B291">
        <v>35</v>
      </c>
      <c r="C291">
        <v>0</v>
      </c>
      <c r="D291">
        <v>0</v>
      </c>
      <c r="E291">
        <v>158</v>
      </c>
      <c r="F291">
        <v>158</v>
      </c>
      <c r="G291">
        <v>99.92</v>
      </c>
      <c r="H291" t="s">
        <v>81</v>
      </c>
    </row>
    <row r="292" spans="1:8" x14ac:dyDescent="0.3">
      <c r="A292" t="s">
        <v>301</v>
      </c>
      <c r="B292">
        <v>7</v>
      </c>
      <c r="C292">
        <v>1.96</v>
      </c>
      <c r="D292">
        <v>2</v>
      </c>
      <c r="E292">
        <v>153.83000000000001</v>
      </c>
      <c r="F292">
        <v>155.79</v>
      </c>
      <c r="G292">
        <v>99.92</v>
      </c>
      <c r="H292" t="s">
        <v>81</v>
      </c>
    </row>
    <row r="293" spans="1:8" x14ac:dyDescent="0.3">
      <c r="A293" t="s">
        <v>302</v>
      </c>
      <c r="B293">
        <v>31</v>
      </c>
      <c r="C293">
        <v>19.59</v>
      </c>
      <c r="D293">
        <v>2.17</v>
      </c>
      <c r="E293">
        <v>133</v>
      </c>
      <c r="F293">
        <v>152.59</v>
      </c>
      <c r="G293">
        <v>99.92</v>
      </c>
      <c r="H293" t="s">
        <v>81</v>
      </c>
    </row>
    <row r="294" spans="1:8" x14ac:dyDescent="0.3">
      <c r="A294" t="s">
        <v>303</v>
      </c>
      <c r="B294">
        <v>4</v>
      </c>
      <c r="C294">
        <v>118.39</v>
      </c>
      <c r="D294">
        <v>95.5</v>
      </c>
      <c r="E294">
        <v>34</v>
      </c>
      <c r="F294">
        <v>152.38999999999999</v>
      </c>
      <c r="G294">
        <v>99.92</v>
      </c>
      <c r="H294" t="s">
        <v>81</v>
      </c>
    </row>
    <row r="295" spans="1:8" x14ac:dyDescent="0.3">
      <c r="A295" t="s">
        <v>304</v>
      </c>
      <c r="B295">
        <v>1</v>
      </c>
      <c r="C295">
        <v>0</v>
      </c>
      <c r="D295">
        <v>0</v>
      </c>
      <c r="E295">
        <v>149</v>
      </c>
      <c r="F295">
        <v>149</v>
      </c>
      <c r="G295">
        <v>99.92</v>
      </c>
      <c r="H295" t="s">
        <v>81</v>
      </c>
    </row>
    <row r="296" spans="1:8" x14ac:dyDescent="0.3">
      <c r="A296" t="s">
        <v>305</v>
      </c>
      <c r="B296">
        <v>9</v>
      </c>
      <c r="C296">
        <v>0</v>
      </c>
      <c r="D296">
        <v>0</v>
      </c>
      <c r="E296">
        <v>149</v>
      </c>
      <c r="F296">
        <v>149</v>
      </c>
      <c r="G296">
        <v>99.93</v>
      </c>
      <c r="H296" t="s">
        <v>81</v>
      </c>
    </row>
    <row r="297" spans="1:8" x14ac:dyDescent="0.3">
      <c r="A297" t="s">
        <v>306</v>
      </c>
      <c r="B297">
        <v>55</v>
      </c>
      <c r="C297">
        <v>2.81</v>
      </c>
      <c r="D297">
        <v>3</v>
      </c>
      <c r="E297">
        <v>146</v>
      </c>
      <c r="F297">
        <v>148.81</v>
      </c>
      <c r="G297">
        <v>99.93</v>
      </c>
      <c r="H297" t="s">
        <v>81</v>
      </c>
    </row>
    <row r="298" spans="1:8" x14ac:dyDescent="0.3">
      <c r="A298" t="s">
        <v>307</v>
      </c>
      <c r="B298">
        <v>6</v>
      </c>
      <c r="C298">
        <v>132.72</v>
      </c>
      <c r="D298">
        <v>122</v>
      </c>
      <c r="E298">
        <v>16</v>
      </c>
      <c r="F298">
        <v>148.72</v>
      </c>
      <c r="G298">
        <v>99.93</v>
      </c>
      <c r="H298" t="s">
        <v>81</v>
      </c>
    </row>
    <row r="299" spans="1:8" x14ac:dyDescent="0.3">
      <c r="A299" t="s">
        <v>308</v>
      </c>
      <c r="B299">
        <v>11</v>
      </c>
      <c r="C299">
        <v>123.25</v>
      </c>
      <c r="D299">
        <v>210.96</v>
      </c>
      <c r="E299">
        <v>24</v>
      </c>
      <c r="F299">
        <v>147.25</v>
      </c>
      <c r="G299">
        <v>99.93</v>
      </c>
      <c r="H299" t="s">
        <v>81</v>
      </c>
    </row>
    <row r="300" spans="1:8" x14ac:dyDescent="0.3">
      <c r="A300" t="s">
        <v>309</v>
      </c>
      <c r="B300">
        <v>9</v>
      </c>
      <c r="C300">
        <v>48.59</v>
      </c>
      <c r="D300">
        <v>25.01</v>
      </c>
      <c r="E300">
        <v>95.83</v>
      </c>
      <c r="F300">
        <v>144.41999999999999</v>
      </c>
      <c r="G300">
        <v>99.93</v>
      </c>
      <c r="H300" t="s">
        <v>81</v>
      </c>
    </row>
    <row r="301" spans="1:8" x14ac:dyDescent="0.3">
      <c r="A301" t="s">
        <v>310</v>
      </c>
      <c r="B301">
        <v>3</v>
      </c>
      <c r="C301">
        <v>0</v>
      </c>
      <c r="D301">
        <v>0</v>
      </c>
      <c r="E301">
        <v>142</v>
      </c>
      <c r="F301">
        <v>142</v>
      </c>
      <c r="G301">
        <v>99.93</v>
      </c>
      <c r="H301" t="s">
        <v>81</v>
      </c>
    </row>
    <row r="302" spans="1:8" x14ac:dyDescent="0.3">
      <c r="A302" t="s">
        <v>311</v>
      </c>
      <c r="B302">
        <v>8</v>
      </c>
      <c r="C302">
        <v>127.6</v>
      </c>
      <c r="D302">
        <v>148</v>
      </c>
      <c r="E302">
        <v>13.83</v>
      </c>
      <c r="F302">
        <v>141.43</v>
      </c>
      <c r="G302">
        <v>99.93</v>
      </c>
      <c r="H302" t="s">
        <v>81</v>
      </c>
    </row>
    <row r="303" spans="1:8" x14ac:dyDescent="0.3">
      <c r="A303" t="s">
        <v>312</v>
      </c>
      <c r="B303">
        <v>2</v>
      </c>
      <c r="C303">
        <v>75.040000000000006</v>
      </c>
      <c r="D303">
        <v>88</v>
      </c>
      <c r="E303">
        <v>66</v>
      </c>
      <c r="F303">
        <v>141.04</v>
      </c>
      <c r="G303">
        <v>99.94</v>
      </c>
      <c r="H303" t="s">
        <v>81</v>
      </c>
    </row>
    <row r="304" spans="1:8" x14ac:dyDescent="0.3">
      <c r="A304" t="s">
        <v>313</v>
      </c>
      <c r="B304">
        <v>5</v>
      </c>
      <c r="C304">
        <v>133.63999999999999</v>
      </c>
      <c r="D304">
        <v>155</v>
      </c>
      <c r="E304">
        <v>7</v>
      </c>
      <c r="F304">
        <v>140.63999999999999</v>
      </c>
      <c r="G304">
        <v>99.94</v>
      </c>
      <c r="H304" t="s">
        <v>81</v>
      </c>
    </row>
    <row r="305" spans="1:8" x14ac:dyDescent="0.3">
      <c r="A305" t="s">
        <v>314</v>
      </c>
      <c r="B305">
        <v>15</v>
      </c>
      <c r="C305">
        <v>136.15</v>
      </c>
      <c r="D305">
        <v>163</v>
      </c>
      <c r="E305">
        <v>3</v>
      </c>
      <c r="F305">
        <v>139.15</v>
      </c>
      <c r="G305">
        <v>99.94</v>
      </c>
      <c r="H305" t="s">
        <v>81</v>
      </c>
    </row>
    <row r="306" spans="1:8" x14ac:dyDescent="0.3">
      <c r="A306" t="s">
        <v>315</v>
      </c>
      <c r="B306">
        <v>5</v>
      </c>
      <c r="C306">
        <v>75.849999999999994</v>
      </c>
      <c r="D306">
        <v>78</v>
      </c>
      <c r="E306">
        <v>56</v>
      </c>
      <c r="F306">
        <v>131.85</v>
      </c>
      <c r="G306">
        <v>99.94</v>
      </c>
      <c r="H306" t="s">
        <v>81</v>
      </c>
    </row>
    <row r="307" spans="1:8" x14ac:dyDescent="0.3">
      <c r="A307" t="s">
        <v>316</v>
      </c>
      <c r="B307">
        <v>10</v>
      </c>
      <c r="C307">
        <v>122.94</v>
      </c>
      <c r="D307">
        <v>38</v>
      </c>
      <c r="E307">
        <v>4</v>
      </c>
      <c r="F307">
        <v>126.94</v>
      </c>
      <c r="G307">
        <v>99.94</v>
      </c>
      <c r="H307" t="s">
        <v>81</v>
      </c>
    </row>
    <row r="308" spans="1:8" x14ac:dyDescent="0.3">
      <c r="A308" t="s">
        <v>317</v>
      </c>
      <c r="B308">
        <v>14</v>
      </c>
      <c r="C308">
        <v>124.26</v>
      </c>
      <c r="D308">
        <v>0</v>
      </c>
      <c r="E308">
        <v>0</v>
      </c>
      <c r="F308">
        <v>124.26</v>
      </c>
      <c r="G308">
        <v>99.94</v>
      </c>
      <c r="H308" t="s">
        <v>81</v>
      </c>
    </row>
    <row r="309" spans="1:8" x14ac:dyDescent="0.3">
      <c r="A309" t="s">
        <v>318</v>
      </c>
      <c r="B309">
        <v>10</v>
      </c>
      <c r="C309">
        <v>113.17</v>
      </c>
      <c r="D309">
        <v>166.83</v>
      </c>
      <c r="E309">
        <v>11</v>
      </c>
      <c r="F309">
        <v>124.17</v>
      </c>
      <c r="G309">
        <v>99.94</v>
      </c>
      <c r="H309" t="s">
        <v>81</v>
      </c>
    </row>
    <row r="310" spans="1:8" x14ac:dyDescent="0.3">
      <c r="A310" t="s">
        <v>319</v>
      </c>
      <c r="B310">
        <v>6</v>
      </c>
      <c r="C310">
        <v>42.1</v>
      </c>
      <c r="D310">
        <v>45</v>
      </c>
      <c r="E310">
        <v>80</v>
      </c>
      <c r="F310">
        <v>122.1</v>
      </c>
      <c r="G310">
        <v>99.94</v>
      </c>
      <c r="H310" t="s">
        <v>81</v>
      </c>
    </row>
    <row r="311" spans="1:8" x14ac:dyDescent="0.3">
      <c r="A311" t="s">
        <v>320</v>
      </c>
      <c r="B311">
        <v>10</v>
      </c>
      <c r="C311">
        <v>117.75</v>
      </c>
      <c r="D311">
        <v>38.32</v>
      </c>
      <c r="E311">
        <v>4</v>
      </c>
      <c r="F311">
        <v>121.75</v>
      </c>
      <c r="G311">
        <v>99.94</v>
      </c>
      <c r="H311" t="s">
        <v>81</v>
      </c>
    </row>
    <row r="312" spans="1:8" x14ac:dyDescent="0.3">
      <c r="A312" t="s">
        <v>321</v>
      </c>
      <c r="B312">
        <v>3</v>
      </c>
      <c r="C312">
        <v>16.61</v>
      </c>
      <c r="D312">
        <v>23</v>
      </c>
      <c r="E312">
        <v>105</v>
      </c>
      <c r="F312">
        <v>121.61</v>
      </c>
      <c r="G312">
        <v>99.95</v>
      </c>
      <c r="H312" t="s">
        <v>81</v>
      </c>
    </row>
    <row r="313" spans="1:8" x14ac:dyDescent="0.3">
      <c r="A313" t="s">
        <v>322</v>
      </c>
      <c r="B313">
        <v>7</v>
      </c>
      <c r="C313">
        <v>71.88</v>
      </c>
      <c r="D313">
        <v>88</v>
      </c>
      <c r="E313">
        <v>45</v>
      </c>
      <c r="F313">
        <v>116.88</v>
      </c>
      <c r="G313">
        <v>99.95</v>
      </c>
      <c r="H313" t="s">
        <v>81</v>
      </c>
    </row>
    <row r="314" spans="1:8" x14ac:dyDescent="0.3">
      <c r="A314" t="s">
        <v>323</v>
      </c>
      <c r="B314">
        <v>12</v>
      </c>
      <c r="C314">
        <v>103.94</v>
      </c>
      <c r="D314">
        <v>40.92</v>
      </c>
      <c r="E314">
        <v>12</v>
      </c>
      <c r="F314">
        <v>115.94</v>
      </c>
      <c r="G314">
        <v>99.95</v>
      </c>
      <c r="H314" t="s">
        <v>81</v>
      </c>
    </row>
    <row r="315" spans="1:8" x14ac:dyDescent="0.3">
      <c r="A315" t="s">
        <v>324</v>
      </c>
      <c r="B315">
        <v>7</v>
      </c>
      <c r="C315">
        <v>0</v>
      </c>
      <c r="D315">
        <v>0</v>
      </c>
      <c r="E315">
        <v>114</v>
      </c>
      <c r="F315">
        <v>114</v>
      </c>
      <c r="G315">
        <v>99.95</v>
      </c>
      <c r="H315" t="s">
        <v>81</v>
      </c>
    </row>
    <row r="316" spans="1:8" x14ac:dyDescent="0.3">
      <c r="A316" t="s">
        <v>325</v>
      </c>
      <c r="B316">
        <v>11</v>
      </c>
      <c r="C316">
        <v>11.94</v>
      </c>
      <c r="D316">
        <v>6</v>
      </c>
      <c r="E316">
        <v>102</v>
      </c>
      <c r="F316">
        <v>113.94</v>
      </c>
      <c r="G316">
        <v>99.95</v>
      </c>
      <c r="H316" t="s">
        <v>81</v>
      </c>
    </row>
    <row r="317" spans="1:8" x14ac:dyDescent="0.3">
      <c r="A317" t="s">
        <v>326</v>
      </c>
      <c r="B317">
        <v>9</v>
      </c>
      <c r="C317">
        <v>0</v>
      </c>
      <c r="D317">
        <v>0</v>
      </c>
      <c r="E317">
        <v>105</v>
      </c>
      <c r="F317">
        <v>105</v>
      </c>
      <c r="G317">
        <v>99.95</v>
      </c>
      <c r="H317" t="s">
        <v>81</v>
      </c>
    </row>
    <row r="318" spans="1:8" x14ac:dyDescent="0.3">
      <c r="A318" t="s">
        <v>327</v>
      </c>
      <c r="B318">
        <v>6</v>
      </c>
      <c r="C318">
        <v>102.78</v>
      </c>
      <c r="D318">
        <v>170.83</v>
      </c>
      <c r="E318">
        <v>0</v>
      </c>
      <c r="F318">
        <v>102.78</v>
      </c>
      <c r="G318">
        <v>99.95</v>
      </c>
      <c r="H318" t="s">
        <v>81</v>
      </c>
    </row>
    <row r="319" spans="1:8" x14ac:dyDescent="0.3">
      <c r="A319" t="s">
        <v>328</v>
      </c>
      <c r="B319">
        <v>11</v>
      </c>
      <c r="C319">
        <v>100.01</v>
      </c>
      <c r="D319">
        <v>158</v>
      </c>
      <c r="E319">
        <v>0</v>
      </c>
      <c r="F319">
        <v>100.01</v>
      </c>
      <c r="G319">
        <v>99.95</v>
      </c>
      <c r="H319" t="s">
        <v>81</v>
      </c>
    </row>
    <row r="320" spans="1:8" x14ac:dyDescent="0.3">
      <c r="A320" t="s">
        <v>329</v>
      </c>
      <c r="B320">
        <v>2</v>
      </c>
      <c r="C320">
        <v>0.16</v>
      </c>
      <c r="D320">
        <v>0</v>
      </c>
      <c r="E320">
        <v>98</v>
      </c>
      <c r="F320">
        <v>98.16</v>
      </c>
      <c r="G320">
        <v>99.95</v>
      </c>
      <c r="H320" t="s">
        <v>81</v>
      </c>
    </row>
    <row r="321" spans="1:8" x14ac:dyDescent="0.3">
      <c r="A321" t="s">
        <v>330</v>
      </c>
      <c r="B321">
        <v>26</v>
      </c>
      <c r="C321">
        <v>0</v>
      </c>
      <c r="D321">
        <v>0</v>
      </c>
      <c r="E321">
        <v>98</v>
      </c>
      <c r="F321">
        <v>98</v>
      </c>
      <c r="G321">
        <v>99.95</v>
      </c>
      <c r="H321" t="s">
        <v>81</v>
      </c>
    </row>
    <row r="322" spans="1:8" x14ac:dyDescent="0.3">
      <c r="A322" t="s">
        <v>331</v>
      </c>
      <c r="B322">
        <v>54</v>
      </c>
      <c r="C322">
        <v>0.34</v>
      </c>
      <c r="D322">
        <v>0</v>
      </c>
      <c r="E322">
        <v>97.17</v>
      </c>
      <c r="F322">
        <v>97.51</v>
      </c>
      <c r="G322">
        <v>99.95</v>
      </c>
      <c r="H322" t="s">
        <v>81</v>
      </c>
    </row>
    <row r="323" spans="1:8" x14ac:dyDescent="0.3">
      <c r="A323" t="s">
        <v>332</v>
      </c>
      <c r="B323">
        <v>1</v>
      </c>
      <c r="C323">
        <v>91.48</v>
      </c>
      <c r="D323">
        <v>84</v>
      </c>
      <c r="E323">
        <v>4</v>
      </c>
      <c r="F323">
        <v>95.48</v>
      </c>
      <c r="G323">
        <v>99.96</v>
      </c>
      <c r="H323" t="s">
        <v>81</v>
      </c>
    </row>
    <row r="324" spans="1:8" x14ac:dyDescent="0.3">
      <c r="A324" t="s">
        <v>333</v>
      </c>
      <c r="B324">
        <v>2</v>
      </c>
      <c r="C324">
        <v>93.46</v>
      </c>
      <c r="D324">
        <v>104</v>
      </c>
      <c r="E324">
        <v>0</v>
      </c>
      <c r="F324">
        <v>93.46</v>
      </c>
      <c r="G324">
        <v>99.96</v>
      </c>
      <c r="H324" t="s">
        <v>81</v>
      </c>
    </row>
    <row r="325" spans="1:8" x14ac:dyDescent="0.3">
      <c r="A325" t="s">
        <v>334</v>
      </c>
      <c r="B325">
        <v>6</v>
      </c>
      <c r="C325">
        <v>0</v>
      </c>
      <c r="D325">
        <v>0</v>
      </c>
      <c r="E325">
        <v>92</v>
      </c>
      <c r="F325">
        <v>92</v>
      </c>
      <c r="G325">
        <v>99.96</v>
      </c>
      <c r="H325" t="s">
        <v>81</v>
      </c>
    </row>
    <row r="326" spans="1:8" x14ac:dyDescent="0.3">
      <c r="A326" t="s">
        <v>335</v>
      </c>
      <c r="B326">
        <v>11</v>
      </c>
      <c r="C326">
        <v>45.07</v>
      </c>
      <c r="D326">
        <v>20</v>
      </c>
      <c r="E326">
        <v>42.92</v>
      </c>
      <c r="F326">
        <v>87.99</v>
      </c>
      <c r="G326">
        <v>99.96</v>
      </c>
      <c r="H326" t="s">
        <v>81</v>
      </c>
    </row>
    <row r="327" spans="1:8" x14ac:dyDescent="0.3">
      <c r="A327" t="s">
        <v>336</v>
      </c>
      <c r="B327">
        <v>13</v>
      </c>
      <c r="C327">
        <v>87.49</v>
      </c>
      <c r="D327">
        <v>0</v>
      </c>
      <c r="E327">
        <v>0</v>
      </c>
      <c r="F327">
        <v>87.49</v>
      </c>
      <c r="G327">
        <v>99.96</v>
      </c>
      <c r="H327" t="s">
        <v>81</v>
      </c>
    </row>
    <row r="328" spans="1:8" x14ac:dyDescent="0.3">
      <c r="A328" t="s">
        <v>337</v>
      </c>
      <c r="B328">
        <v>4</v>
      </c>
      <c r="C328">
        <v>9.85</v>
      </c>
      <c r="D328">
        <v>4.25</v>
      </c>
      <c r="E328">
        <v>77</v>
      </c>
      <c r="F328">
        <v>86.85</v>
      </c>
      <c r="G328">
        <v>99.96</v>
      </c>
      <c r="H328" t="s">
        <v>81</v>
      </c>
    </row>
    <row r="329" spans="1:8" x14ac:dyDescent="0.3">
      <c r="A329" t="s">
        <v>338</v>
      </c>
      <c r="B329">
        <v>2</v>
      </c>
      <c r="C329">
        <v>78.86</v>
      </c>
      <c r="D329">
        <v>88.32</v>
      </c>
      <c r="E329">
        <v>2</v>
      </c>
      <c r="F329">
        <v>80.86</v>
      </c>
      <c r="G329">
        <v>99.96</v>
      </c>
      <c r="H329" t="s">
        <v>81</v>
      </c>
    </row>
    <row r="330" spans="1:8" x14ac:dyDescent="0.3">
      <c r="A330" t="s">
        <v>339</v>
      </c>
      <c r="B330">
        <v>4</v>
      </c>
      <c r="C330">
        <v>80.47</v>
      </c>
      <c r="D330">
        <v>66.41</v>
      </c>
      <c r="E330">
        <v>0</v>
      </c>
      <c r="F330">
        <v>80.47</v>
      </c>
      <c r="G330">
        <v>99.96</v>
      </c>
      <c r="H330" t="s">
        <v>81</v>
      </c>
    </row>
    <row r="331" spans="1:8" x14ac:dyDescent="0.3">
      <c r="A331" t="s">
        <v>340</v>
      </c>
      <c r="B331">
        <v>36</v>
      </c>
      <c r="C331">
        <v>41.99</v>
      </c>
      <c r="D331">
        <v>14.17</v>
      </c>
      <c r="E331">
        <v>35</v>
      </c>
      <c r="F331">
        <v>76.989999999999995</v>
      </c>
      <c r="G331">
        <v>99.96</v>
      </c>
      <c r="H331" t="s">
        <v>81</v>
      </c>
    </row>
    <row r="332" spans="1:8" x14ac:dyDescent="0.3">
      <c r="A332" t="s">
        <v>341</v>
      </c>
      <c r="B332">
        <v>5</v>
      </c>
      <c r="C332">
        <v>65.95</v>
      </c>
      <c r="D332">
        <v>70.92</v>
      </c>
      <c r="E332">
        <v>11</v>
      </c>
      <c r="F332">
        <v>76.95</v>
      </c>
      <c r="G332">
        <v>99.96</v>
      </c>
      <c r="H332" t="s">
        <v>81</v>
      </c>
    </row>
    <row r="333" spans="1:8" x14ac:dyDescent="0.3">
      <c r="A333" t="s">
        <v>342</v>
      </c>
      <c r="B333">
        <v>4</v>
      </c>
      <c r="C333">
        <v>29.66</v>
      </c>
      <c r="D333">
        <v>36</v>
      </c>
      <c r="E333">
        <v>47</v>
      </c>
      <c r="F333">
        <v>76.66</v>
      </c>
      <c r="G333">
        <v>99.96</v>
      </c>
      <c r="H333" t="s">
        <v>81</v>
      </c>
    </row>
    <row r="334" spans="1:8" x14ac:dyDescent="0.3">
      <c r="A334" t="s">
        <v>343</v>
      </c>
      <c r="B334">
        <v>4</v>
      </c>
      <c r="C334">
        <v>20.190000000000001</v>
      </c>
      <c r="D334">
        <v>17</v>
      </c>
      <c r="E334">
        <v>56</v>
      </c>
      <c r="F334">
        <v>76.19</v>
      </c>
      <c r="G334">
        <v>99.96</v>
      </c>
      <c r="H334" t="s">
        <v>81</v>
      </c>
    </row>
    <row r="335" spans="1:8" x14ac:dyDescent="0.3">
      <c r="A335" t="s">
        <v>344</v>
      </c>
      <c r="B335">
        <v>30</v>
      </c>
      <c r="C335">
        <v>0</v>
      </c>
      <c r="D335">
        <v>0</v>
      </c>
      <c r="E335">
        <v>74</v>
      </c>
      <c r="F335">
        <v>74</v>
      </c>
      <c r="G335">
        <v>99.96</v>
      </c>
      <c r="H335" t="s">
        <v>81</v>
      </c>
    </row>
    <row r="336" spans="1:8" x14ac:dyDescent="0.3">
      <c r="A336" t="s">
        <v>345</v>
      </c>
      <c r="B336">
        <v>6</v>
      </c>
      <c r="C336">
        <v>72.56</v>
      </c>
      <c r="D336">
        <v>0</v>
      </c>
      <c r="E336">
        <v>0</v>
      </c>
      <c r="F336">
        <v>72.56</v>
      </c>
      <c r="G336">
        <v>99.97</v>
      </c>
      <c r="H336" t="s">
        <v>81</v>
      </c>
    </row>
    <row r="337" spans="1:8" x14ac:dyDescent="0.3">
      <c r="A337" t="s">
        <v>346</v>
      </c>
      <c r="B337">
        <v>11</v>
      </c>
      <c r="C337">
        <v>14.05</v>
      </c>
      <c r="D337">
        <v>5</v>
      </c>
      <c r="E337">
        <v>58</v>
      </c>
      <c r="F337">
        <v>72.05</v>
      </c>
      <c r="G337">
        <v>99.97</v>
      </c>
      <c r="H337" t="s">
        <v>81</v>
      </c>
    </row>
    <row r="338" spans="1:8" x14ac:dyDescent="0.3">
      <c r="A338" t="s">
        <v>347</v>
      </c>
      <c r="B338">
        <v>5</v>
      </c>
      <c r="C338">
        <v>46.04</v>
      </c>
      <c r="D338">
        <v>36.840000000000003</v>
      </c>
      <c r="E338">
        <v>25</v>
      </c>
      <c r="F338">
        <v>71.040000000000006</v>
      </c>
      <c r="G338">
        <v>99.97</v>
      </c>
      <c r="H338" t="s">
        <v>81</v>
      </c>
    </row>
    <row r="339" spans="1:8" x14ac:dyDescent="0.3">
      <c r="A339" t="s">
        <v>348</v>
      </c>
      <c r="B339">
        <v>3</v>
      </c>
      <c r="C339">
        <v>64.09</v>
      </c>
      <c r="D339">
        <v>77</v>
      </c>
      <c r="E339">
        <v>2</v>
      </c>
      <c r="F339">
        <v>66.09</v>
      </c>
      <c r="G339">
        <v>99.97</v>
      </c>
      <c r="H339" t="s">
        <v>81</v>
      </c>
    </row>
    <row r="340" spans="1:8" x14ac:dyDescent="0.3">
      <c r="A340" t="s">
        <v>349</v>
      </c>
      <c r="B340">
        <v>8</v>
      </c>
      <c r="C340">
        <v>0</v>
      </c>
      <c r="D340">
        <v>0</v>
      </c>
      <c r="E340">
        <v>65</v>
      </c>
      <c r="F340">
        <v>65</v>
      </c>
      <c r="G340">
        <v>99.97</v>
      </c>
      <c r="H340" t="s">
        <v>81</v>
      </c>
    </row>
    <row r="341" spans="1:8" x14ac:dyDescent="0.3">
      <c r="A341" t="s">
        <v>350</v>
      </c>
      <c r="B341">
        <v>10</v>
      </c>
      <c r="C341">
        <v>15.43</v>
      </c>
      <c r="D341">
        <v>13</v>
      </c>
      <c r="E341">
        <v>49</v>
      </c>
      <c r="F341">
        <v>64.430000000000007</v>
      </c>
      <c r="G341">
        <v>99.97</v>
      </c>
      <c r="H341" t="s">
        <v>81</v>
      </c>
    </row>
    <row r="342" spans="1:8" x14ac:dyDescent="0.3">
      <c r="A342" t="s">
        <v>351</v>
      </c>
      <c r="B342">
        <v>23</v>
      </c>
      <c r="C342">
        <v>54.63</v>
      </c>
      <c r="D342">
        <v>25</v>
      </c>
      <c r="E342">
        <v>9</v>
      </c>
      <c r="F342">
        <v>63.63</v>
      </c>
      <c r="G342">
        <v>99.97</v>
      </c>
      <c r="H342" t="s">
        <v>81</v>
      </c>
    </row>
    <row r="343" spans="1:8" x14ac:dyDescent="0.3">
      <c r="A343" t="s">
        <v>352</v>
      </c>
      <c r="B343">
        <v>7</v>
      </c>
      <c r="C343">
        <v>1.19</v>
      </c>
      <c r="D343">
        <v>0</v>
      </c>
      <c r="E343">
        <v>62</v>
      </c>
      <c r="F343">
        <v>63.19</v>
      </c>
      <c r="G343">
        <v>99.97</v>
      </c>
      <c r="H343" t="s">
        <v>81</v>
      </c>
    </row>
    <row r="344" spans="1:8" x14ac:dyDescent="0.3">
      <c r="A344" t="s">
        <v>353</v>
      </c>
      <c r="B344">
        <v>4</v>
      </c>
      <c r="C344">
        <v>62.83</v>
      </c>
      <c r="D344">
        <v>81</v>
      </c>
      <c r="E344">
        <v>0</v>
      </c>
      <c r="F344">
        <v>62.83</v>
      </c>
      <c r="G344">
        <v>99.97</v>
      </c>
      <c r="H344" t="s">
        <v>81</v>
      </c>
    </row>
    <row r="345" spans="1:8" x14ac:dyDescent="0.3">
      <c r="A345" t="s">
        <v>354</v>
      </c>
      <c r="B345">
        <v>6</v>
      </c>
      <c r="C345">
        <v>62.65</v>
      </c>
      <c r="D345">
        <v>0</v>
      </c>
      <c r="E345">
        <v>0</v>
      </c>
      <c r="F345">
        <v>62.65</v>
      </c>
      <c r="G345">
        <v>99.97</v>
      </c>
      <c r="H345" t="s">
        <v>81</v>
      </c>
    </row>
    <row r="346" spans="1:8" x14ac:dyDescent="0.3">
      <c r="A346" t="s">
        <v>355</v>
      </c>
      <c r="B346">
        <v>18</v>
      </c>
      <c r="C346">
        <v>9.77</v>
      </c>
      <c r="D346">
        <v>9</v>
      </c>
      <c r="E346">
        <v>50</v>
      </c>
      <c r="F346">
        <v>59.77</v>
      </c>
      <c r="G346">
        <v>99.97</v>
      </c>
      <c r="H346" t="s">
        <v>81</v>
      </c>
    </row>
    <row r="347" spans="1:8" x14ac:dyDescent="0.3">
      <c r="A347" t="s">
        <v>356</v>
      </c>
      <c r="B347">
        <v>2</v>
      </c>
      <c r="C347">
        <v>17.75</v>
      </c>
      <c r="D347">
        <v>24</v>
      </c>
      <c r="E347">
        <v>42</v>
      </c>
      <c r="F347">
        <v>59.75</v>
      </c>
      <c r="G347">
        <v>99.97</v>
      </c>
      <c r="H347" t="s">
        <v>81</v>
      </c>
    </row>
    <row r="348" spans="1:8" x14ac:dyDescent="0.3">
      <c r="A348" t="s">
        <v>357</v>
      </c>
      <c r="B348">
        <v>17</v>
      </c>
      <c r="C348">
        <v>0</v>
      </c>
      <c r="D348">
        <v>0</v>
      </c>
      <c r="E348">
        <v>59</v>
      </c>
      <c r="F348">
        <v>59</v>
      </c>
      <c r="G348">
        <v>99.97</v>
      </c>
      <c r="H348" t="s">
        <v>81</v>
      </c>
    </row>
    <row r="349" spans="1:8" x14ac:dyDescent="0.3">
      <c r="A349" t="s">
        <v>358</v>
      </c>
      <c r="B349">
        <v>1</v>
      </c>
      <c r="C349">
        <v>53.25</v>
      </c>
      <c r="D349">
        <v>52</v>
      </c>
      <c r="E349">
        <v>3</v>
      </c>
      <c r="F349">
        <v>56.25</v>
      </c>
      <c r="G349">
        <v>99.97</v>
      </c>
      <c r="H349" t="s">
        <v>81</v>
      </c>
    </row>
    <row r="350" spans="1:8" x14ac:dyDescent="0.3">
      <c r="A350" t="s">
        <v>359</v>
      </c>
      <c r="B350">
        <v>4</v>
      </c>
      <c r="C350">
        <v>56.02</v>
      </c>
      <c r="D350">
        <v>136</v>
      </c>
      <c r="E350">
        <v>0</v>
      </c>
      <c r="F350">
        <v>56.02</v>
      </c>
      <c r="G350">
        <v>99.97</v>
      </c>
      <c r="H350" t="s">
        <v>81</v>
      </c>
    </row>
    <row r="351" spans="1:8" x14ac:dyDescent="0.3">
      <c r="A351" t="s">
        <v>360</v>
      </c>
      <c r="B351">
        <v>2</v>
      </c>
      <c r="C351">
        <v>55.9</v>
      </c>
      <c r="D351">
        <v>0</v>
      </c>
      <c r="E351">
        <v>0</v>
      </c>
      <c r="F351">
        <v>55.9</v>
      </c>
      <c r="G351">
        <v>99.97</v>
      </c>
      <c r="H351" t="s">
        <v>81</v>
      </c>
    </row>
    <row r="352" spans="1:8" x14ac:dyDescent="0.3">
      <c r="A352" t="s">
        <v>361</v>
      </c>
      <c r="B352">
        <v>2</v>
      </c>
      <c r="C352">
        <v>52.61</v>
      </c>
      <c r="D352">
        <v>43</v>
      </c>
      <c r="E352">
        <v>3</v>
      </c>
      <c r="F352">
        <v>55.61</v>
      </c>
      <c r="G352">
        <v>99.97</v>
      </c>
      <c r="H352" t="s">
        <v>81</v>
      </c>
    </row>
    <row r="353" spans="1:8" x14ac:dyDescent="0.3">
      <c r="A353" t="s">
        <v>362</v>
      </c>
      <c r="B353">
        <v>9</v>
      </c>
      <c r="C353">
        <v>54.76</v>
      </c>
      <c r="D353">
        <v>27</v>
      </c>
      <c r="E353">
        <v>0</v>
      </c>
      <c r="F353">
        <v>54.76</v>
      </c>
      <c r="G353">
        <v>99.97</v>
      </c>
      <c r="H353" t="s">
        <v>81</v>
      </c>
    </row>
    <row r="354" spans="1:8" x14ac:dyDescent="0.3">
      <c r="A354" t="s">
        <v>363</v>
      </c>
      <c r="B354">
        <v>3</v>
      </c>
      <c r="C354">
        <v>38.659999999999997</v>
      </c>
      <c r="D354">
        <v>54</v>
      </c>
      <c r="E354">
        <v>14</v>
      </c>
      <c r="F354">
        <v>52.66</v>
      </c>
      <c r="G354">
        <v>99.98</v>
      </c>
      <c r="H354" t="s">
        <v>81</v>
      </c>
    </row>
    <row r="355" spans="1:8" x14ac:dyDescent="0.3">
      <c r="A355" t="s">
        <v>364</v>
      </c>
      <c r="B355">
        <v>3</v>
      </c>
      <c r="C355">
        <v>24.19</v>
      </c>
      <c r="D355">
        <v>23</v>
      </c>
      <c r="E355">
        <v>28</v>
      </c>
      <c r="F355">
        <v>52.19</v>
      </c>
      <c r="G355">
        <v>99.98</v>
      </c>
      <c r="H355" t="s">
        <v>81</v>
      </c>
    </row>
    <row r="356" spans="1:8" x14ac:dyDescent="0.3">
      <c r="A356" t="s">
        <v>365</v>
      </c>
      <c r="B356">
        <v>3</v>
      </c>
      <c r="C356">
        <v>2.77</v>
      </c>
      <c r="D356">
        <v>1</v>
      </c>
      <c r="E356">
        <v>49</v>
      </c>
      <c r="F356">
        <v>51.77</v>
      </c>
      <c r="G356">
        <v>99.98</v>
      </c>
      <c r="H356" t="s">
        <v>81</v>
      </c>
    </row>
    <row r="357" spans="1:8" x14ac:dyDescent="0.3">
      <c r="A357" t="s">
        <v>366</v>
      </c>
      <c r="B357">
        <v>23</v>
      </c>
      <c r="C357">
        <v>18.7</v>
      </c>
      <c r="D357">
        <v>21</v>
      </c>
      <c r="E357">
        <v>33</v>
      </c>
      <c r="F357">
        <v>51.7</v>
      </c>
      <c r="G357">
        <v>99.98</v>
      </c>
      <c r="H357" t="s">
        <v>81</v>
      </c>
    </row>
    <row r="358" spans="1:8" x14ac:dyDescent="0.3">
      <c r="A358" t="s">
        <v>367</v>
      </c>
      <c r="B358">
        <v>5</v>
      </c>
      <c r="C358">
        <v>10.039999999999999</v>
      </c>
      <c r="D358">
        <v>17</v>
      </c>
      <c r="E358">
        <v>41</v>
      </c>
      <c r="F358">
        <v>51.04</v>
      </c>
      <c r="G358">
        <v>99.98</v>
      </c>
      <c r="H358" t="s">
        <v>81</v>
      </c>
    </row>
    <row r="359" spans="1:8" x14ac:dyDescent="0.3">
      <c r="A359" t="s">
        <v>368</v>
      </c>
      <c r="B359">
        <v>3</v>
      </c>
      <c r="C359">
        <v>50.22</v>
      </c>
      <c r="D359">
        <v>0</v>
      </c>
      <c r="E359">
        <v>0</v>
      </c>
      <c r="F359">
        <v>50.22</v>
      </c>
      <c r="G359">
        <v>99.98</v>
      </c>
      <c r="H359" t="s">
        <v>81</v>
      </c>
    </row>
    <row r="360" spans="1:8" x14ac:dyDescent="0.3">
      <c r="A360" t="s">
        <v>369</v>
      </c>
      <c r="B360">
        <v>9</v>
      </c>
      <c r="C360">
        <v>19.399999999999999</v>
      </c>
      <c r="D360">
        <v>18.25</v>
      </c>
      <c r="E360">
        <v>30</v>
      </c>
      <c r="F360">
        <v>49.4</v>
      </c>
      <c r="G360">
        <v>99.98</v>
      </c>
      <c r="H360" t="s">
        <v>81</v>
      </c>
    </row>
    <row r="361" spans="1:8" x14ac:dyDescent="0.3">
      <c r="A361" t="s">
        <v>370</v>
      </c>
      <c r="B361">
        <v>3</v>
      </c>
      <c r="C361">
        <v>47.88</v>
      </c>
      <c r="D361">
        <v>69</v>
      </c>
      <c r="E361">
        <v>0</v>
      </c>
      <c r="F361">
        <v>47.88</v>
      </c>
      <c r="G361">
        <v>99.98</v>
      </c>
      <c r="H361" t="s">
        <v>81</v>
      </c>
    </row>
    <row r="362" spans="1:8" x14ac:dyDescent="0.3">
      <c r="A362" t="s">
        <v>371</v>
      </c>
      <c r="B362">
        <v>2</v>
      </c>
      <c r="C362">
        <v>42.68</v>
      </c>
      <c r="D362">
        <v>45</v>
      </c>
      <c r="E362">
        <v>4.83</v>
      </c>
      <c r="F362">
        <v>47.51</v>
      </c>
      <c r="G362">
        <v>99.98</v>
      </c>
      <c r="H362" t="s">
        <v>81</v>
      </c>
    </row>
    <row r="363" spans="1:8" x14ac:dyDescent="0.3">
      <c r="A363" t="s">
        <v>372</v>
      </c>
      <c r="B363">
        <v>1</v>
      </c>
      <c r="C363">
        <v>47.1</v>
      </c>
      <c r="D363">
        <v>62</v>
      </c>
      <c r="E363">
        <v>0</v>
      </c>
      <c r="F363">
        <v>47.1</v>
      </c>
      <c r="G363">
        <v>99.98</v>
      </c>
      <c r="H363" t="s">
        <v>81</v>
      </c>
    </row>
    <row r="364" spans="1:8" x14ac:dyDescent="0.3">
      <c r="A364" t="s">
        <v>373</v>
      </c>
      <c r="B364">
        <v>6</v>
      </c>
      <c r="C364">
        <v>42.39</v>
      </c>
      <c r="D364">
        <v>33</v>
      </c>
      <c r="E364">
        <v>4</v>
      </c>
      <c r="F364">
        <v>46.39</v>
      </c>
      <c r="G364">
        <v>99.98</v>
      </c>
      <c r="H364" t="s">
        <v>81</v>
      </c>
    </row>
    <row r="365" spans="1:8" x14ac:dyDescent="0.3">
      <c r="A365" t="s">
        <v>374</v>
      </c>
      <c r="B365">
        <v>5</v>
      </c>
      <c r="C365">
        <v>0</v>
      </c>
      <c r="D365">
        <v>0</v>
      </c>
      <c r="E365">
        <v>45</v>
      </c>
      <c r="F365">
        <v>45</v>
      </c>
      <c r="G365">
        <v>99.98</v>
      </c>
      <c r="H365" t="s">
        <v>81</v>
      </c>
    </row>
    <row r="366" spans="1:8" x14ac:dyDescent="0.3">
      <c r="A366" t="s">
        <v>375</v>
      </c>
      <c r="B366">
        <v>9</v>
      </c>
      <c r="C366">
        <v>43.81</v>
      </c>
      <c r="D366">
        <v>46.96</v>
      </c>
      <c r="E366">
        <v>0</v>
      </c>
      <c r="F366">
        <v>43.81</v>
      </c>
      <c r="G366">
        <v>99.98</v>
      </c>
      <c r="H366" t="s">
        <v>81</v>
      </c>
    </row>
    <row r="367" spans="1:8" x14ac:dyDescent="0.3">
      <c r="A367" t="s">
        <v>376</v>
      </c>
      <c r="B367">
        <v>23</v>
      </c>
      <c r="C367">
        <v>1.79</v>
      </c>
      <c r="D367">
        <v>1</v>
      </c>
      <c r="E367">
        <v>42</v>
      </c>
      <c r="F367">
        <v>43.79</v>
      </c>
      <c r="G367">
        <v>99.98</v>
      </c>
      <c r="H367" t="s">
        <v>81</v>
      </c>
    </row>
    <row r="368" spans="1:8" x14ac:dyDescent="0.3">
      <c r="A368" t="s">
        <v>377</v>
      </c>
      <c r="B368">
        <v>6</v>
      </c>
      <c r="C368">
        <v>38.06</v>
      </c>
      <c r="D368">
        <v>64</v>
      </c>
      <c r="E368">
        <v>5</v>
      </c>
      <c r="F368">
        <v>43.06</v>
      </c>
      <c r="G368">
        <v>99.98</v>
      </c>
      <c r="H368" t="s">
        <v>81</v>
      </c>
    </row>
    <row r="369" spans="1:8" x14ac:dyDescent="0.3">
      <c r="A369" t="s">
        <v>378</v>
      </c>
      <c r="B369">
        <v>6</v>
      </c>
      <c r="C369">
        <v>0.49</v>
      </c>
      <c r="D369">
        <v>0</v>
      </c>
      <c r="E369">
        <v>41.92</v>
      </c>
      <c r="F369">
        <v>42.41</v>
      </c>
      <c r="G369">
        <v>99.98</v>
      </c>
      <c r="H369" t="s">
        <v>81</v>
      </c>
    </row>
    <row r="370" spans="1:8" x14ac:dyDescent="0.3">
      <c r="A370" t="s">
        <v>379</v>
      </c>
      <c r="B370">
        <v>5</v>
      </c>
      <c r="C370">
        <v>42.19</v>
      </c>
      <c r="D370">
        <v>32</v>
      </c>
      <c r="E370">
        <v>0</v>
      </c>
      <c r="F370">
        <v>42.19</v>
      </c>
      <c r="G370">
        <v>99.98</v>
      </c>
      <c r="H370" t="s">
        <v>81</v>
      </c>
    </row>
    <row r="371" spans="1:8" x14ac:dyDescent="0.3">
      <c r="A371" t="s">
        <v>380</v>
      </c>
      <c r="B371">
        <v>7</v>
      </c>
      <c r="C371">
        <v>1</v>
      </c>
      <c r="D371">
        <v>1</v>
      </c>
      <c r="E371">
        <v>41</v>
      </c>
      <c r="F371">
        <v>42</v>
      </c>
      <c r="G371">
        <v>99.98</v>
      </c>
      <c r="H371" t="s">
        <v>81</v>
      </c>
    </row>
    <row r="372" spans="1:8" x14ac:dyDescent="0.3">
      <c r="A372" t="s">
        <v>381</v>
      </c>
      <c r="B372">
        <v>15</v>
      </c>
      <c r="C372">
        <v>0.88</v>
      </c>
      <c r="D372">
        <v>0</v>
      </c>
      <c r="E372">
        <v>40</v>
      </c>
      <c r="F372">
        <v>40.880000000000003</v>
      </c>
      <c r="G372">
        <v>99.98</v>
      </c>
      <c r="H372" t="s">
        <v>81</v>
      </c>
    </row>
    <row r="373" spans="1:8" x14ac:dyDescent="0.3">
      <c r="A373" t="s">
        <v>382</v>
      </c>
      <c r="B373">
        <v>3</v>
      </c>
      <c r="C373">
        <v>2.13</v>
      </c>
      <c r="D373">
        <v>2</v>
      </c>
      <c r="E373">
        <v>38</v>
      </c>
      <c r="F373">
        <v>40.130000000000003</v>
      </c>
      <c r="G373">
        <v>99.98</v>
      </c>
      <c r="H373" t="s">
        <v>81</v>
      </c>
    </row>
    <row r="374" spans="1:8" x14ac:dyDescent="0.3">
      <c r="A374" t="s">
        <v>383</v>
      </c>
      <c r="B374">
        <v>2</v>
      </c>
      <c r="C374">
        <v>0</v>
      </c>
      <c r="D374">
        <v>0</v>
      </c>
      <c r="E374">
        <v>40</v>
      </c>
      <c r="F374">
        <v>40</v>
      </c>
      <c r="G374">
        <v>99.98</v>
      </c>
      <c r="H374" t="s">
        <v>81</v>
      </c>
    </row>
    <row r="375" spans="1:8" x14ac:dyDescent="0.3">
      <c r="A375" t="s">
        <v>384</v>
      </c>
      <c r="B375">
        <v>9</v>
      </c>
      <c r="C375">
        <v>0</v>
      </c>
      <c r="D375">
        <v>0</v>
      </c>
      <c r="E375">
        <v>40</v>
      </c>
      <c r="F375">
        <v>40</v>
      </c>
      <c r="G375">
        <v>99.98</v>
      </c>
      <c r="H375" t="s">
        <v>81</v>
      </c>
    </row>
    <row r="376" spans="1:8" x14ac:dyDescent="0.3">
      <c r="A376" t="s">
        <v>385</v>
      </c>
      <c r="B376">
        <v>3</v>
      </c>
      <c r="C376">
        <v>14.81</v>
      </c>
      <c r="D376">
        <v>25.83</v>
      </c>
      <c r="E376">
        <v>25</v>
      </c>
      <c r="F376">
        <v>39.81</v>
      </c>
      <c r="G376">
        <v>99.98</v>
      </c>
      <c r="H376" t="s">
        <v>81</v>
      </c>
    </row>
    <row r="377" spans="1:8" x14ac:dyDescent="0.3">
      <c r="A377" t="s">
        <v>386</v>
      </c>
      <c r="B377">
        <v>12</v>
      </c>
      <c r="C377">
        <v>11.41</v>
      </c>
      <c r="D377">
        <v>5</v>
      </c>
      <c r="E377">
        <v>27</v>
      </c>
      <c r="F377">
        <v>38.409999999999997</v>
      </c>
      <c r="G377">
        <v>99.98</v>
      </c>
      <c r="H377" t="s">
        <v>81</v>
      </c>
    </row>
    <row r="378" spans="1:8" x14ac:dyDescent="0.3">
      <c r="A378" t="s">
        <v>387</v>
      </c>
      <c r="B378">
        <v>5</v>
      </c>
      <c r="C378">
        <v>28.31</v>
      </c>
      <c r="D378">
        <v>30</v>
      </c>
      <c r="E378">
        <v>10</v>
      </c>
      <c r="F378">
        <v>38.31</v>
      </c>
      <c r="G378">
        <v>99.98</v>
      </c>
      <c r="H378" t="s">
        <v>81</v>
      </c>
    </row>
    <row r="379" spans="1:8" x14ac:dyDescent="0.3">
      <c r="A379" t="s">
        <v>388</v>
      </c>
      <c r="B379">
        <v>9</v>
      </c>
      <c r="C379">
        <v>37.19</v>
      </c>
      <c r="D379">
        <v>3</v>
      </c>
      <c r="E379">
        <v>0</v>
      </c>
      <c r="F379">
        <v>37.19</v>
      </c>
      <c r="G379">
        <v>99.99</v>
      </c>
      <c r="H379" t="s">
        <v>81</v>
      </c>
    </row>
    <row r="380" spans="1:8" x14ac:dyDescent="0.3">
      <c r="A380" t="s">
        <v>389</v>
      </c>
      <c r="B380">
        <v>1</v>
      </c>
      <c r="C380">
        <v>1</v>
      </c>
      <c r="D380">
        <v>1</v>
      </c>
      <c r="E380">
        <v>36</v>
      </c>
      <c r="F380">
        <v>37</v>
      </c>
      <c r="G380">
        <v>99.99</v>
      </c>
      <c r="H380" t="s">
        <v>81</v>
      </c>
    </row>
    <row r="381" spans="1:8" x14ac:dyDescent="0.3">
      <c r="A381" t="s">
        <v>390</v>
      </c>
      <c r="B381">
        <v>11</v>
      </c>
      <c r="C381">
        <v>12.52</v>
      </c>
      <c r="D381">
        <v>11</v>
      </c>
      <c r="E381">
        <v>24</v>
      </c>
      <c r="F381">
        <v>36.520000000000003</v>
      </c>
      <c r="G381">
        <v>99.99</v>
      </c>
      <c r="H381" t="s">
        <v>81</v>
      </c>
    </row>
    <row r="382" spans="1:8" x14ac:dyDescent="0.3">
      <c r="A382" t="s">
        <v>391</v>
      </c>
      <c r="B382">
        <v>3</v>
      </c>
      <c r="C382">
        <v>36.1</v>
      </c>
      <c r="D382">
        <v>13.67</v>
      </c>
      <c r="E382">
        <v>0</v>
      </c>
      <c r="F382">
        <v>36.1</v>
      </c>
      <c r="G382">
        <v>99.99</v>
      </c>
      <c r="H382" t="s">
        <v>81</v>
      </c>
    </row>
    <row r="383" spans="1:8" x14ac:dyDescent="0.3">
      <c r="A383" t="s">
        <v>392</v>
      </c>
      <c r="B383">
        <v>4</v>
      </c>
      <c r="C383">
        <v>35.29</v>
      </c>
      <c r="D383">
        <v>0</v>
      </c>
      <c r="E383">
        <v>0</v>
      </c>
      <c r="F383">
        <v>35.29</v>
      </c>
      <c r="G383">
        <v>99.99</v>
      </c>
      <c r="H383" t="s">
        <v>81</v>
      </c>
    </row>
    <row r="384" spans="1:8" x14ac:dyDescent="0.3">
      <c r="A384" t="s">
        <v>393</v>
      </c>
      <c r="B384">
        <v>4</v>
      </c>
      <c r="C384">
        <v>29.69</v>
      </c>
      <c r="D384">
        <v>66</v>
      </c>
      <c r="E384">
        <v>4</v>
      </c>
      <c r="F384">
        <v>33.69</v>
      </c>
      <c r="G384">
        <v>99.99</v>
      </c>
      <c r="H384" t="s">
        <v>81</v>
      </c>
    </row>
    <row r="385" spans="1:8" x14ac:dyDescent="0.3">
      <c r="A385" t="s">
        <v>394</v>
      </c>
      <c r="B385">
        <v>15</v>
      </c>
      <c r="C385">
        <v>14.2</v>
      </c>
      <c r="D385">
        <v>9</v>
      </c>
      <c r="E385">
        <v>19</v>
      </c>
      <c r="F385">
        <v>33.200000000000003</v>
      </c>
      <c r="G385">
        <v>99.99</v>
      </c>
      <c r="H385" t="s">
        <v>81</v>
      </c>
    </row>
    <row r="386" spans="1:8" x14ac:dyDescent="0.3">
      <c r="A386" t="s">
        <v>395</v>
      </c>
      <c r="B386">
        <v>2</v>
      </c>
      <c r="C386">
        <v>0</v>
      </c>
      <c r="D386">
        <v>0</v>
      </c>
      <c r="E386">
        <v>33</v>
      </c>
      <c r="F386">
        <v>33</v>
      </c>
      <c r="G386">
        <v>99.99</v>
      </c>
      <c r="H386" t="s">
        <v>81</v>
      </c>
    </row>
    <row r="387" spans="1:8" x14ac:dyDescent="0.3">
      <c r="A387" t="s">
        <v>396</v>
      </c>
      <c r="B387">
        <v>3</v>
      </c>
      <c r="C387">
        <v>0</v>
      </c>
      <c r="D387">
        <v>0</v>
      </c>
      <c r="E387">
        <v>32</v>
      </c>
      <c r="F387">
        <v>32</v>
      </c>
      <c r="G387">
        <v>99.99</v>
      </c>
      <c r="H387" t="s">
        <v>81</v>
      </c>
    </row>
    <row r="388" spans="1:8" x14ac:dyDescent="0.3">
      <c r="A388" t="s">
        <v>397</v>
      </c>
      <c r="B388">
        <v>1</v>
      </c>
      <c r="C388">
        <v>31.28</v>
      </c>
      <c r="D388">
        <v>22.67</v>
      </c>
      <c r="E388">
        <v>0</v>
      </c>
      <c r="F388">
        <v>31.28</v>
      </c>
      <c r="G388">
        <v>99.99</v>
      </c>
      <c r="H388" t="s">
        <v>81</v>
      </c>
    </row>
    <row r="389" spans="1:8" x14ac:dyDescent="0.3">
      <c r="A389" t="s">
        <v>398</v>
      </c>
      <c r="B389">
        <v>6</v>
      </c>
      <c r="C389">
        <v>30.62</v>
      </c>
      <c r="D389">
        <v>57</v>
      </c>
      <c r="E389">
        <v>0</v>
      </c>
      <c r="F389">
        <v>30.62</v>
      </c>
      <c r="G389">
        <v>99.99</v>
      </c>
      <c r="H389" t="s">
        <v>81</v>
      </c>
    </row>
    <row r="390" spans="1:8" x14ac:dyDescent="0.3">
      <c r="A390" t="s">
        <v>399</v>
      </c>
      <c r="B390">
        <v>4</v>
      </c>
      <c r="C390">
        <v>30.61</v>
      </c>
      <c r="D390">
        <v>-0.32</v>
      </c>
      <c r="E390">
        <v>0</v>
      </c>
      <c r="F390">
        <v>30.61</v>
      </c>
      <c r="G390">
        <v>99.99</v>
      </c>
      <c r="H390" t="s">
        <v>81</v>
      </c>
    </row>
    <row r="391" spans="1:8" x14ac:dyDescent="0.3">
      <c r="A391" t="s">
        <v>400</v>
      </c>
      <c r="B391">
        <v>3</v>
      </c>
      <c r="C391">
        <v>28.24</v>
      </c>
      <c r="D391">
        <v>0</v>
      </c>
      <c r="E391">
        <v>0</v>
      </c>
      <c r="F391">
        <v>28.24</v>
      </c>
      <c r="G391">
        <v>99.99</v>
      </c>
      <c r="H391" t="s">
        <v>81</v>
      </c>
    </row>
    <row r="392" spans="1:8" x14ac:dyDescent="0.3">
      <c r="A392" t="s">
        <v>401</v>
      </c>
      <c r="B392">
        <v>11</v>
      </c>
      <c r="C392">
        <v>27.99</v>
      </c>
      <c r="D392">
        <v>1</v>
      </c>
      <c r="E392">
        <v>0</v>
      </c>
      <c r="F392">
        <v>27.99</v>
      </c>
      <c r="G392">
        <v>99.99</v>
      </c>
      <c r="H392" t="s">
        <v>81</v>
      </c>
    </row>
    <row r="393" spans="1:8" x14ac:dyDescent="0.3">
      <c r="A393" t="s">
        <v>402</v>
      </c>
      <c r="B393">
        <v>1</v>
      </c>
      <c r="C393">
        <v>21.83</v>
      </c>
      <c r="D393">
        <v>8</v>
      </c>
      <c r="E393">
        <v>6</v>
      </c>
      <c r="F393">
        <v>27.83</v>
      </c>
      <c r="G393">
        <v>99.99</v>
      </c>
      <c r="H393" t="s">
        <v>81</v>
      </c>
    </row>
    <row r="394" spans="1:8" x14ac:dyDescent="0.3">
      <c r="A394" t="s">
        <v>403</v>
      </c>
      <c r="B394">
        <v>23</v>
      </c>
      <c r="C394">
        <v>6.82</v>
      </c>
      <c r="D394">
        <v>1</v>
      </c>
      <c r="E394">
        <v>21</v>
      </c>
      <c r="F394">
        <v>27.82</v>
      </c>
      <c r="G394">
        <v>99.99</v>
      </c>
      <c r="H394" t="s">
        <v>81</v>
      </c>
    </row>
    <row r="395" spans="1:8" x14ac:dyDescent="0.3">
      <c r="A395" t="s">
        <v>404</v>
      </c>
      <c r="B395">
        <v>7</v>
      </c>
      <c r="C395">
        <v>0</v>
      </c>
      <c r="D395">
        <v>0</v>
      </c>
      <c r="E395">
        <v>27.5</v>
      </c>
      <c r="F395">
        <v>27.5</v>
      </c>
      <c r="G395">
        <v>99.99</v>
      </c>
      <c r="H395" t="s">
        <v>81</v>
      </c>
    </row>
    <row r="396" spans="1:8" x14ac:dyDescent="0.3">
      <c r="A396" t="s">
        <v>405</v>
      </c>
      <c r="B396">
        <v>4</v>
      </c>
      <c r="C396">
        <v>26.05</v>
      </c>
      <c r="D396">
        <v>36.67</v>
      </c>
      <c r="E396">
        <v>1</v>
      </c>
      <c r="F396">
        <v>27.05</v>
      </c>
      <c r="G396">
        <v>99.99</v>
      </c>
      <c r="H396" t="s">
        <v>81</v>
      </c>
    </row>
    <row r="397" spans="1:8" x14ac:dyDescent="0.3">
      <c r="A397" t="s">
        <v>406</v>
      </c>
      <c r="B397">
        <v>1</v>
      </c>
      <c r="C397">
        <v>0</v>
      </c>
      <c r="D397">
        <v>0</v>
      </c>
      <c r="E397">
        <v>25</v>
      </c>
      <c r="F397">
        <v>25</v>
      </c>
      <c r="G397">
        <v>99.99</v>
      </c>
      <c r="H397" t="s">
        <v>81</v>
      </c>
    </row>
    <row r="398" spans="1:8" x14ac:dyDescent="0.3">
      <c r="A398" t="s">
        <v>407</v>
      </c>
      <c r="B398">
        <v>1</v>
      </c>
      <c r="C398">
        <v>18.57</v>
      </c>
      <c r="D398">
        <v>48</v>
      </c>
      <c r="E398">
        <v>6</v>
      </c>
      <c r="F398">
        <v>24.57</v>
      </c>
      <c r="G398">
        <v>99.99</v>
      </c>
      <c r="H398" t="s">
        <v>81</v>
      </c>
    </row>
    <row r="399" spans="1:8" x14ac:dyDescent="0.3">
      <c r="A399" t="s">
        <v>408</v>
      </c>
      <c r="B399">
        <v>17</v>
      </c>
      <c r="C399">
        <v>0</v>
      </c>
      <c r="D399">
        <v>0</v>
      </c>
      <c r="E399">
        <v>24.5</v>
      </c>
      <c r="F399">
        <v>24.5</v>
      </c>
      <c r="G399">
        <v>99.99</v>
      </c>
      <c r="H399" t="s">
        <v>81</v>
      </c>
    </row>
    <row r="400" spans="1:8" x14ac:dyDescent="0.3">
      <c r="A400" t="s">
        <v>409</v>
      </c>
      <c r="B400">
        <v>21</v>
      </c>
      <c r="C400">
        <v>0</v>
      </c>
      <c r="D400">
        <v>0</v>
      </c>
      <c r="E400">
        <v>24</v>
      </c>
      <c r="F400">
        <v>24</v>
      </c>
      <c r="G400">
        <v>99.99</v>
      </c>
      <c r="H400" t="s">
        <v>81</v>
      </c>
    </row>
    <row r="401" spans="1:8" x14ac:dyDescent="0.3">
      <c r="A401" t="s">
        <v>410</v>
      </c>
      <c r="B401">
        <v>13</v>
      </c>
      <c r="C401">
        <v>23.64</v>
      </c>
      <c r="D401">
        <v>0</v>
      </c>
      <c r="E401">
        <v>0</v>
      </c>
      <c r="F401">
        <v>23.64</v>
      </c>
      <c r="G401">
        <v>99.99</v>
      </c>
      <c r="H401" t="s">
        <v>81</v>
      </c>
    </row>
    <row r="402" spans="1:8" x14ac:dyDescent="0.3">
      <c r="A402" t="s">
        <v>411</v>
      </c>
      <c r="B402">
        <v>2</v>
      </c>
      <c r="C402">
        <v>6.31</v>
      </c>
      <c r="D402">
        <v>6</v>
      </c>
      <c r="E402">
        <v>17</v>
      </c>
      <c r="F402">
        <v>23.31</v>
      </c>
      <c r="G402">
        <v>99.99</v>
      </c>
      <c r="H402" t="s">
        <v>81</v>
      </c>
    </row>
    <row r="403" spans="1:8" x14ac:dyDescent="0.3">
      <c r="A403" t="s">
        <v>412</v>
      </c>
      <c r="B403">
        <v>18</v>
      </c>
      <c r="C403">
        <v>0.91</v>
      </c>
      <c r="D403">
        <v>0</v>
      </c>
      <c r="E403">
        <v>22</v>
      </c>
      <c r="F403">
        <v>22.91</v>
      </c>
      <c r="G403">
        <v>99.99</v>
      </c>
      <c r="H403" t="s">
        <v>81</v>
      </c>
    </row>
    <row r="404" spans="1:8" x14ac:dyDescent="0.3">
      <c r="A404" t="s">
        <v>413</v>
      </c>
      <c r="B404">
        <v>4</v>
      </c>
      <c r="C404">
        <v>22.45</v>
      </c>
      <c r="D404">
        <v>0</v>
      </c>
      <c r="E404">
        <v>0</v>
      </c>
      <c r="F404">
        <v>22.45</v>
      </c>
      <c r="G404">
        <v>99.99</v>
      </c>
      <c r="H404" t="s">
        <v>81</v>
      </c>
    </row>
    <row r="405" spans="1:8" x14ac:dyDescent="0.3">
      <c r="A405" t="s">
        <v>414</v>
      </c>
      <c r="B405">
        <v>3</v>
      </c>
      <c r="C405">
        <v>22.32</v>
      </c>
      <c r="D405">
        <v>0</v>
      </c>
      <c r="E405">
        <v>0</v>
      </c>
      <c r="F405">
        <v>22.32</v>
      </c>
      <c r="G405">
        <v>99.99</v>
      </c>
      <c r="H405" t="s">
        <v>81</v>
      </c>
    </row>
    <row r="406" spans="1:8" x14ac:dyDescent="0.3">
      <c r="A406" t="s">
        <v>415</v>
      </c>
      <c r="B406">
        <v>7</v>
      </c>
      <c r="C406">
        <v>0.03</v>
      </c>
      <c r="D406">
        <v>0</v>
      </c>
      <c r="E406">
        <v>22</v>
      </c>
      <c r="F406">
        <v>22.03</v>
      </c>
      <c r="G406">
        <v>99.99</v>
      </c>
      <c r="H406" t="s">
        <v>81</v>
      </c>
    </row>
    <row r="407" spans="1:8" x14ac:dyDescent="0.3">
      <c r="A407" t="s">
        <v>416</v>
      </c>
      <c r="B407">
        <v>4</v>
      </c>
      <c r="C407">
        <v>0</v>
      </c>
      <c r="D407">
        <v>0</v>
      </c>
      <c r="E407">
        <v>22</v>
      </c>
      <c r="F407">
        <v>22</v>
      </c>
      <c r="G407">
        <v>99.99</v>
      </c>
      <c r="H407" t="s">
        <v>81</v>
      </c>
    </row>
    <row r="408" spans="1:8" x14ac:dyDescent="0.3">
      <c r="A408" t="s">
        <v>417</v>
      </c>
      <c r="B408">
        <v>4</v>
      </c>
      <c r="C408">
        <v>0</v>
      </c>
      <c r="D408">
        <v>0</v>
      </c>
      <c r="E408">
        <v>22</v>
      </c>
      <c r="F408">
        <v>22</v>
      </c>
      <c r="G408">
        <v>99.99</v>
      </c>
      <c r="H408" t="s">
        <v>81</v>
      </c>
    </row>
    <row r="409" spans="1:8" x14ac:dyDescent="0.3">
      <c r="A409" t="s">
        <v>418</v>
      </c>
      <c r="B409">
        <v>2</v>
      </c>
      <c r="C409">
        <v>21.65</v>
      </c>
      <c r="D409">
        <v>14</v>
      </c>
      <c r="E409">
        <v>0</v>
      </c>
      <c r="F409">
        <v>21.65</v>
      </c>
      <c r="G409">
        <v>99.99</v>
      </c>
      <c r="H409" t="s">
        <v>81</v>
      </c>
    </row>
    <row r="410" spans="1:8" x14ac:dyDescent="0.3">
      <c r="A410" t="s">
        <v>419</v>
      </c>
      <c r="B410">
        <v>14</v>
      </c>
      <c r="C410">
        <v>1.1399999999999999</v>
      </c>
      <c r="D410">
        <v>6</v>
      </c>
      <c r="E410">
        <v>19</v>
      </c>
      <c r="F410">
        <v>20.14</v>
      </c>
      <c r="G410">
        <v>99.99</v>
      </c>
      <c r="H410" t="s">
        <v>81</v>
      </c>
    </row>
    <row r="411" spans="1:8" x14ac:dyDescent="0.3">
      <c r="A411" t="s">
        <v>420</v>
      </c>
      <c r="B411">
        <v>11</v>
      </c>
      <c r="C411">
        <v>14.73</v>
      </c>
      <c r="D411">
        <v>8</v>
      </c>
      <c r="E411">
        <v>5</v>
      </c>
      <c r="F411">
        <v>19.73</v>
      </c>
      <c r="G411">
        <v>99.99</v>
      </c>
      <c r="H411" t="s">
        <v>81</v>
      </c>
    </row>
    <row r="412" spans="1:8" x14ac:dyDescent="0.3">
      <c r="A412" t="s">
        <v>421</v>
      </c>
      <c r="B412">
        <v>6</v>
      </c>
      <c r="C412">
        <v>8.7100000000000009</v>
      </c>
      <c r="D412">
        <v>20</v>
      </c>
      <c r="E412">
        <v>11</v>
      </c>
      <c r="F412">
        <v>19.71</v>
      </c>
      <c r="G412">
        <v>99.99</v>
      </c>
      <c r="H412" t="s">
        <v>81</v>
      </c>
    </row>
    <row r="413" spans="1:8" x14ac:dyDescent="0.3">
      <c r="A413" t="s">
        <v>422</v>
      </c>
      <c r="B413">
        <v>1</v>
      </c>
      <c r="C413">
        <v>19.59</v>
      </c>
      <c r="D413">
        <v>0</v>
      </c>
      <c r="E413">
        <v>0</v>
      </c>
      <c r="F413">
        <v>19.59</v>
      </c>
      <c r="G413">
        <v>99.99</v>
      </c>
      <c r="H413" t="s">
        <v>81</v>
      </c>
    </row>
    <row r="414" spans="1:8" x14ac:dyDescent="0.3">
      <c r="A414" t="s">
        <v>423</v>
      </c>
      <c r="B414">
        <v>3</v>
      </c>
      <c r="C414">
        <v>18.22</v>
      </c>
      <c r="D414">
        <v>0</v>
      </c>
      <c r="E414">
        <v>0</v>
      </c>
      <c r="F414">
        <v>18.22</v>
      </c>
      <c r="G414">
        <v>99.99</v>
      </c>
      <c r="H414" t="s">
        <v>81</v>
      </c>
    </row>
    <row r="415" spans="1:8" x14ac:dyDescent="0.3">
      <c r="A415" t="s">
        <v>424</v>
      </c>
      <c r="B415">
        <v>9</v>
      </c>
      <c r="C415">
        <v>17.52</v>
      </c>
      <c r="D415">
        <v>8</v>
      </c>
      <c r="E415">
        <v>0</v>
      </c>
      <c r="F415">
        <v>17.52</v>
      </c>
      <c r="G415">
        <v>99.99</v>
      </c>
      <c r="H415" t="s">
        <v>81</v>
      </c>
    </row>
    <row r="416" spans="1:8" x14ac:dyDescent="0.3">
      <c r="A416" t="s">
        <v>425</v>
      </c>
      <c r="B416">
        <v>2</v>
      </c>
      <c r="C416">
        <v>0</v>
      </c>
      <c r="D416">
        <v>0</v>
      </c>
      <c r="E416">
        <v>17</v>
      </c>
      <c r="F416">
        <v>17</v>
      </c>
      <c r="G416">
        <v>99.99</v>
      </c>
      <c r="H416" t="s">
        <v>81</v>
      </c>
    </row>
    <row r="417" spans="1:8" x14ac:dyDescent="0.3">
      <c r="A417" t="s">
        <v>426</v>
      </c>
      <c r="B417">
        <v>4</v>
      </c>
      <c r="C417">
        <v>0</v>
      </c>
      <c r="D417">
        <v>0</v>
      </c>
      <c r="E417">
        <v>17</v>
      </c>
      <c r="F417">
        <v>17</v>
      </c>
      <c r="G417">
        <v>99.99</v>
      </c>
      <c r="H417" t="s">
        <v>81</v>
      </c>
    </row>
    <row r="418" spans="1:8" x14ac:dyDescent="0.3">
      <c r="A418" t="s">
        <v>427</v>
      </c>
      <c r="B418">
        <v>2</v>
      </c>
      <c r="C418">
        <v>13.27</v>
      </c>
      <c r="D418">
        <v>14</v>
      </c>
      <c r="E418">
        <v>3</v>
      </c>
      <c r="F418">
        <v>16.27</v>
      </c>
      <c r="G418">
        <v>99.99</v>
      </c>
      <c r="H418" t="s">
        <v>81</v>
      </c>
    </row>
    <row r="419" spans="1:8" x14ac:dyDescent="0.3">
      <c r="A419" t="s">
        <v>428</v>
      </c>
      <c r="B419">
        <v>7</v>
      </c>
      <c r="C419">
        <v>16.079999999999998</v>
      </c>
      <c r="D419">
        <v>18</v>
      </c>
      <c r="E419">
        <v>0</v>
      </c>
      <c r="F419">
        <v>16.079999999999998</v>
      </c>
      <c r="G419">
        <v>99.99</v>
      </c>
      <c r="H419" t="s">
        <v>81</v>
      </c>
    </row>
    <row r="420" spans="1:8" x14ac:dyDescent="0.3">
      <c r="A420" t="s">
        <v>429</v>
      </c>
      <c r="B420">
        <v>2</v>
      </c>
      <c r="C420">
        <v>0</v>
      </c>
      <c r="D420">
        <v>0</v>
      </c>
      <c r="E420">
        <v>16</v>
      </c>
      <c r="F420">
        <v>16</v>
      </c>
      <c r="G420">
        <v>99.99</v>
      </c>
      <c r="H420" t="s">
        <v>81</v>
      </c>
    </row>
    <row r="421" spans="1:8" x14ac:dyDescent="0.3">
      <c r="A421" t="s">
        <v>430</v>
      </c>
      <c r="B421">
        <v>4</v>
      </c>
      <c r="C421">
        <v>15.7</v>
      </c>
      <c r="D421">
        <v>0</v>
      </c>
      <c r="E421">
        <v>0</v>
      </c>
      <c r="F421">
        <v>15.7</v>
      </c>
      <c r="G421">
        <v>99.99</v>
      </c>
      <c r="H421" t="s">
        <v>81</v>
      </c>
    </row>
    <row r="422" spans="1:8" x14ac:dyDescent="0.3">
      <c r="A422" t="s">
        <v>431</v>
      </c>
      <c r="B422">
        <v>6</v>
      </c>
      <c r="C422">
        <v>15.61</v>
      </c>
      <c r="D422">
        <v>25</v>
      </c>
      <c r="E422">
        <v>0</v>
      </c>
      <c r="F422">
        <v>15.61</v>
      </c>
      <c r="G422">
        <v>99.99</v>
      </c>
      <c r="H422" t="s">
        <v>81</v>
      </c>
    </row>
    <row r="423" spans="1:8" x14ac:dyDescent="0.3">
      <c r="A423" t="s">
        <v>432</v>
      </c>
      <c r="B423">
        <v>6</v>
      </c>
      <c r="C423">
        <v>11.59</v>
      </c>
      <c r="D423">
        <v>13</v>
      </c>
      <c r="E423">
        <v>4</v>
      </c>
      <c r="F423">
        <v>15.59</v>
      </c>
      <c r="G423">
        <v>99.99</v>
      </c>
      <c r="H423" t="s">
        <v>81</v>
      </c>
    </row>
    <row r="424" spans="1:8" x14ac:dyDescent="0.3">
      <c r="A424" t="s">
        <v>433</v>
      </c>
      <c r="B424">
        <v>1</v>
      </c>
      <c r="C424">
        <v>15.29</v>
      </c>
      <c r="D424">
        <v>2</v>
      </c>
      <c r="E424">
        <v>0</v>
      </c>
      <c r="F424">
        <v>15.29</v>
      </c>
      <c r="G424">
        <v>100</v>
      </c>
      <c r="H424" t="s">
        <v>81</v>
      </c>
    </row>
    <row r="425" spans="1:8" x14ac:dyDescent="0.3">
      <c r="A425" t="s">
        <v>434</v>
      </c>
      <c r="B425">
        <v>2</v>
      </c>
      <c r="C425">
        <v>0</v>
      </c>
      <c r="D425">
        <v>0</v>
      </c>
      <c r="E425">
        <v>15</v>
      </c>
      <c r="F425">
        <v>15</v>
      </c>
      <c r="G425">
        <v>100</v>
      </c>
      <c r="H425" t="s">
        <v>81</v>
      </c>
    </row>
    <row r="426" spans="1:8" x14ac:dyDescent="0.3">
      <c r="A426" t="s">
        <v>435</v>
      </c>
      <c r="B426">
        <v>8</v>
      </c>
      <c r="C426">
        <v>2.2799999999999998</v>
      </c>
      <c r="D426">
        <v>0</v>
      </c>
      <c r="E426">
        <v>12</v>
      </c>
      <c r="F426">
        <v>14.28</v>
      </c>
      <c r="G426">
        <v>100</v>
      </c>
      <c r="H426" t="s">
        <v>81</v>
      </c>
    </row>
    <row r="427" spans="1:8" x14ac:dyDescent="0.3">
      <c r="A427" t="s">
        <v>436</v>
      </c>
      <c r="B427">
        <v>3</v>
      </c>
      <c r="C427">
        <v>14.27</v>
      </c>
      <c r="D427">
        <v>19</v>
      </c>
      <c r="E427">
        <v>0</v>
      </c>
      <c r="F427">
        <v>14.27</v>
      </c>
      <c r="G427">
        <v>100</v>
      </c>
      <c r="H427" t="s">
        <v>81</v>
      </c>
    </row>
    <row r="428" spans="1:8" x14ac:dyDescent="0.3">
      <c r="A428" t="s">
        <v>437</v>
      </c>
      <c r="B428">
        <v>5</v>
      </c>
      <c r="C428">
        <v>0</v>
      </c>
      <c r="D428">
        <v>0</v>
      </c>
      <c r="E428">
        <v>14</v>
      </c>
      <c r="F428">
        <v>14</v>
      </c>
      <c r="G428">
        <v>100</v>
      </c>
      <c r="H428" t="s">
        <v>81</v>
      </c>
    </row>
    <row r="429" spans="1:8" x14ac:dyDescent="0.3">
      <c r="A429" t="s">
        <v>438</v>
      </c>
      <c r="B429">
        <v>12</v>
      </c>
      <c r="C429">
        <v>13.71</v>
      </c>
      <c r="D429">
        <v>0</v>
      </c>
      <c r="E429">
        <v>0</v>
      </c>
      <c r="F429">
        <v>13.71</v>
      </c>
      <c r="G429">
        <v>100</v>
      </c>
      <c r="H429" t="s">
        <v>81</v>
      </c>
    </row>
    <row r="430" spans="1:8" x14ac:dyDescent="0.3">
      <c r="A430" t="s">
        <v>439</v>
      </c>
      <c r="B430">
        <v>1</v>
      </c>
      <c r="C430">
        <v>7.48</v>
      </c>
      <c r="D430">
        <v>9</v>
      </c>
      <c r="E430">
        <v>5</v>
      </c>
      <c r="F430">
        <v>12.48</v>
      </c>
      <c r="G430">
        <v>100</v>
      </c>
      <c r="H430" t="s">
        <v>81</v>
      </c>
    </row>
    <row r="431" spans="1:8" x14ac:dyDescent="0.3">
      <c r="A431" t="s">
        <v>440</v>
      </c>
      <c r="B431">
        <v>8</v>
      </c>
      <c r="C431">
        <v>2.38</v>
      </c>
      <c r="D431">
        <v>0</v>
      </c>
      <c r="E431">
        <v>10</v>
      </c>
      <c r="F431">
        <v>12.38</v>
      </c>
      <c r="G431">
        <v>100</v>
      </c>
      <c r="H431" t="s">
        <v>81</v>
      </c>
    </row>
    <row r="432" spans="1:8" x14ac:dyDescent="0.3">
      <c r="A432" t="s">
        <v>441</v>
      </c>
      <c r="B432">
        <v>7</v>
      </c>
      <c r="C432">
        <v>0.08</v>
      </c>
      <c r="D432">
        <v>0</v>
      </c>
      <c r="E432">
        <v>12</v>
      </c>
      <c r="F432">
        <v>12.08</v>
      </c>
      <c r="G432">
        <v>100</v>
      </c>
      <c r="H432" t="s">
        <v>81</v>
      </c>
    </row>
    <row r="433" spans="1:8" x14ac:dyDescent="0.3">
      <c r="A433" t="s">
        <v>442</v>
      </c>
      <c r="B433">
        <v>12</v>
      </c>
      <c r="C433">
        <v>11.49</v>
      </c>
      <c r="D433">
        <v>0.08</v>
      </c>
      <c r="E433">
        <v>0</v>
      </c>
      <c r="F433">
        <v>11.49</v>
      </c>
      <c r="G433">
        <v>100</v>
      </c>
      <c r="H433" t="s">
        <v>81</v>
      </c>
    </row>
    <row r="434" spans="1:8" x14ac:dyDescent="0.3">
      <c r="A434" t="s">
        <v>443</v>
      </c>
      <c r="B434">
        <v>7</v>
      </c>
      <c r="C434">
        <v>0.32</v>
      </c>
      <c r="D434">
        <v>1</v>
      </c>
      <c r="E434">
        <v>11</v>
      </c>
      <c r="F434">
        <v>11.32</v>
      </c>
      <c r="G434">
        <v>100</v>
      </c>
      <c r="H434" t="s">
        <v>81</v>
      </c>
    </row>
    <row r="435" spans="1:8" x14ac:dyDescent="0.3">
      <c r="A435" t="s">
        <v>444</v>
      </c>
      <c r="B435">
        <v>1</v>
      </c>
      <c r="C435">
        <v>10.11</v>
      </c>
      <c r="D435">
        <v>11</v>
      </c>
      <c r="E435">
        <v>1</v>
      </c>
      <c r="F435">
        <v>11.11</v>
      </c>
      <c r="G435">
        <v>100</v>
      </c>
      <c r="H435" t="s">
        <v>81</v>
      </c>
    </row>
    <row r="436" spans="1:8" x14ac:dyDescent="0.3">
      <c r="A436" t="s">
        <v>445</v>
      </c>
      <c r="B436">
        <v>3</v>
      </c>
      <c r="C436">
        <v>10.45</v>
      </c>
      <c r="D436">
        <v>1</v>
      </c>
      <c r="E436">
        <v>0</v>
      </c>
      <c r="F436">
        <v>10.45</v>
      </c>
      <c r="G436">
        <v>100</v>
      </c>
      <c r="H436" t="s">
        <v>81</v>
      </c>
    </row>
    <row r="437" spans="1:8" x14ac:dyDescent="0.3">
      <c r="A437" t="s">
        <v>446</v>
      </c>
      <c r="B437">
        <v>7</v>
      </c>
      <c r="C437">
        <v>10.38</v>
      </c>
      <c r="D437">
        <v>0</v>
      </c>
      <c r="E437">
        <v>0</v>
      </c>
      <c r="F437">
        <v>10.38</v>
      </c>
      <c r="G437">
        <v>100</v>
      </c>
      <c r="H437" t="s">
        <v>81</v>
      </c>
    </row>
    <row r="438" spans="1:8" x14ac:dyDescent="0.3">
      <c r="A438" t="s">
        <v>447</v>
      </c>
      <c r="B438">
        <v>3</v>
      </c>
      <c r="C438">
        <v>0</v>
      </c>
      <c r="D438">
        <v>0</v>
      </c>
      <c r="E438">
        <v>10</v>
      </c>
      <c r="F438">
        <v>10</v>
      </c>
      <c r="G438">
        <v>100</v>
      </c>
      <c r="H438" t="s">
        <v>81</v>
      </c>
    </row>
    <row r="439" spans="1:8" x14ac:dyDescent="0.3">
      <c r="A439" t="s">
        <v>448</v>
      </c>
      <c r="B439">
        <v>3</v>
      </c>
      <c r="C439">
        <v>0</v>
      </c>
      <c r="D439">
        <v>0</v>
      </c>
      <c r="E439">
        <v>10</v>
      </c>
      <c r="F439">
        <v>10</v>
      </c>
      <c r="G439">
        <v>100</v>
      </c>
      <c r="H439" t="s">
        <v>81</v>
      </c>
    </row>
    <row r="440" spans="1:8" x14ac:dyDescent="0.3">
      <c r="A440" t="s">
        <v>449</v>
      </c>
      <c r="B440">
        <v>3</v>
      </c>
      <c r="C440">
        <v>0</v>
      </c>
      <c r="D440">
        <v>0</v>
      </c>
      <c r="E440">
        <v>10</v>
      </c>
      <c r="F440">
        <v>10</v>
      </c>
      <c r="G440">
        <v>100</v>
      </c>
      <c r="H440" t="s">
        <v>81</v>
      </c>
    </row>
    <row r="441" spans="1:8" x14ac:dyDescent="0.3">
      <c r="A441" t="s">
        <v>450</v>
      </c>
      <c r="B441">
        <v>2</v>
      </c>
      <c r="C441">
        <v>9.64</v>
      </c>
      <c r="D441">
        <v>0</v>
      </c>
      <c r="E441">
        <v>0</v>
      </c>
      <c r="F441">
        <v>9.64</v>
      </c>
      <c r="G441">
        <v>100</v>
      </c>
      <c r="H441" t="s">
        <v>81</v>
      </c>
    </row>
    <row r="442" spans="1:8" x14ac:dyDescent="0.3">
      <c r="A442" t="s">
        <v>451</v>
      </c>
      <c r="B442">
        <v>2</v>
      </c>
      <c r="C442">
        <v>9.2799999999999994</v>
      </c>
      <c r="D442">
        <v>-0.08</v>
      </c>
      <c r="E442">
        <v>0</v>
      </c>
      <c r="F442">
        <v>9.2799999999999994</v>
      </c>
      <c r="G442">
        <v>100</v>
      </c>
      <c r="H442" t="s">
        <v>81</v>
      </c>
    </row>
    <row r="443" spans="1:8" x14ac:dyDescent="0.3">
      <c r="A443" t="s">
        <v>452</v>
      </c>
      <c r="B443">
        <v>1</v>
      </c>
      <c r="C443">
        <v>0</v>
      </c>
      <c r="D443">
        <v>0</v>
      </c>
      <c r="E443">
        <v>9</v>
      </c>
      <c r="F443">
        <v>9</v>
      </c>
      <c r="G443">
        <v>100</v>
      </c>
      <c r="H443" t="s">
        <v>81</v>
      </c>
    </row>
    <row r="444" spans="1:8" x14ac:dyDescent="0.3">
      <c r="A444" t="s">
        <v>453</v>
      </c>
      <c r="B444">
        <v>5</v>
      </c>
      <c r="C444">
        <v>8.84</v>
      </c>
      <c r="D444">
        <v>15</v>
      </c>
      <c r="E444">
        <v>0</v>
      </c>
      <c r="F444">
        <v>8.84</v>
      </c>
      <c r="G444">
        <v>100</v>
      </c>
      <c r="H444" t="s">
        <v>81</v>
      </c>
    </row>
    <row r="445" spans="1:8" x14ac:dyDescent="0.3">
      <c r="A445" t="s">
        <v>454</v>
      </c>
      <c r="B445">
        <v>4</v>
      </c>
      <c r="C445">
        <v>0.56999999999999995</v>
      </c>
      <c r="D445">
        <v>0</v>
      </c>
      <c r="E445">
        <v>8</v>
      </c>
      <c r="F445">
        <v>8.57</v>
      </c>
      <c r="G445">
        <v>100</v>
      </c>
      <c r="H445" t="s">
        <v>81</v>
      </c>
    </row>
    <row r="446" spans="1:8" x14ac:dyDescent="0.3">
      <c r="A446" t="s">
        <v>455</v>
      </c>
      <c r="B446">
        <v>2</v>
      </c>
      <c r="C446">
        <v>4.53</v>
      </c>
      <c r="D446">
        <v>0</v>
      </c>
      <c r="E446">
        <v>4</v>
      </c>
      <c r="F446">
        <v>8.5299999999999994</v>
      </c>
      <c r="G446">
        <v>100</v>
      </c>
      <c r="H446" t="s">
        <v>81</v>
      </c>
    </row>
    <row r="447" spans="1:8" x14ac:dyDescent="0.3">
      <c r="A447" t="s">
        <v>456</v>
      </c>
      <c r="B447">
        <v>1</v>
      </c>
      <c r="C447">
        <v>8.4700000000000006</v>
      </c>
      <c r="D447">
        <v>10</v>
      </c>
      <c r="E447">
        <v>0</v>
      </c>
      <c r="F447">
        <v>8.4700000000000006</v>
      </c>
      <c r="G447">
        <v>100</v>
      </c>
      <c r="H447" t="s">
        <v>81</v>
      </c>
    </row>
    <row r="448" spans="1:8" x14ac:dyDescent="0.3">
      <c r="A448" t="s">
        <v>457</v>
      </c>
      <c r="B448">
        <v>3</v>
      </c>
      <c r="C448">
        <v>6.4</v>
      </c>
      <c r="D448">
        <v>4</v>
      </c>
      <c r="E448">
        <v>2</v>
      </c>
      <c r="F448">
        <v>8.4</v>
      </c>
      <c r="G448">
        <v>100</v>
      </c>
      <c r="H448" t="s">
        <v>81</v>
      </c>
    </row>
    <row r="449" spans="1:8" x14ac:dyDescent="0.3">
      <c r="A449" t="s">
        <v>458</v>
      </c>
      <c r="B449">
        <v>4</v>
      </c>
      <c r="C449">
        <v>8.4</v>
      </c>
      <c r="D449">
        <v>13</v>
      </c>
      <c r="E449">
        <v>0</v>
      </c>
      <c r="F449">
        <v>8.4</v>
      </c>
      <c r="G449">
        <v>100</v>
      </c>
      <c r="H449" t="s">
        <v>81</v>
      </c>
    </row>
    <row r="450" spans="1:8" x14ac:dyDescent="0.3">
      <c r="A450" t="s">
        <v>459</v>
      </c>
      <c r="B450">
        <v>7</v>
      </c>
      <c r="C450">
        <v>0</v>
      </c>
      <c r="D450">
        <v>0</v>
      </c>
      <c r="E450">
        <v>8</v>
      </c>
      <c r="F450">
        <v>8</v>
      </c>
      <c r="G450">
        <v>100</v>
      </c>
      <c r="H450" t="s">
        <v>81</v>
      </c>
    </row>
    <row r="451" spans="1:8" x14ac:dyDescent="0.3">
      <c r="A451" t="s">
        <v>460</v>
      </c>
      <c r="B451">
        <v>2</v>
      </c>
      <c r="C451">
        <v>0</v>
      </c>
      <c r="D451">
        <v>0</v>
      </c>
      <c r="E451">
        <v>8</v>
      </c>
      <c r="F451">
        <v>8</v>
      </c>
      <c r="G451">
        <v>100</v>
      </c>
      <c r="H451" t="s">
        <v>81</v>
      </c>
    </row>
    <row r="452" spans="1:8" x14ac:dyDescent="0.3">
      <c r="A452" t="s">
        <v>461</v>
      </c>
      <c r="B452">
        <v>4</v>
      </c>
      <c r="C452">
        <v>7.82</v>
      </c>
      <c r="D452">
        <v>0</v>
      </c>
      <c r="E452">
        <v>0</v>
      </c>
      <c r="F452">
        <v>7.82</v>
      </c>
      <c r="G452">
        <v>100</v>
      </c>
      <c r="H452" t="s">
        <v>81</v>
      </c>
    </row>
    <row r="453" spans="1:8" x14ac:dyDescent="0.3">
      <c r="A453" t="s">
        <v>462</v>
      </c>
      <c r="B453">
        <v>1</v>
      </c>
      <c r="C453">
        <v>7.27</v>
      </c>
      <c r="D453">
        <v>4</v>
      </c>
      <c r="E453">
        <v>0</v>
      </c>
      <c r="F453">
        <v>7.27</v>
      </c>
      <c r="G453">
        <v>100</v>
      </c>
      <c r="H453" t="s">
        <v>81</v>
      </c>
    </row>
    <row r="454" spans="1:8" x14ac:dyDescent="0.3">
      <c r="A454" t="s">
        <v>463</v>
      </c>
      <c r="B454">
        <v>3</v>
      </c>
      <c r="C454">
        <v>0</v>
      </c>
      <c r="D454">
        <v>0</v>
      </c>
      <c r="E454">
        <v>7</v>
      </c>
      <c r="F454">
        <v>7</v>
      </c>
      <c r="G454">
        <v>100</v>
      </c>
      <c r="H454" t="s">
        <v>81</v>
      </c>
    </row>
    <row r="455" spans="1:8" x14ac:dyDescent="0.3">
      <c r="A455" t="s">
        <v>464</v>
      </c>
      <c r="B455">
        <v>1</v>
      </c>
      <c r="C455">
        <v>0</v>
      </c>
      <c r="D455">
        <v>0</v>
      </c>
      <c r="E455">
        <v>7</v>
      </c>
      <c r="F455">
        <v>7</v>
      </c>
      <c r="G455">
        <v>100</v>
      </c>
      <c r="H455" t="s">
        <v>81</v>
      </c>
    </row>
    <row r="456" spans="1:8" x14ac:dyDescent="0.3">
      <c r="A456" t="s">
        <v>465</v>
      </c>
      <c r="B456">
        <v>3</v>
      </c>
      <c r="C456">
        <v>0</v>
      </c>
      <c r="D456">
        <v>0</v>
      </c>
      <c r="E456">
        <v>7</v>
      </c>
      <c r="F456">
        <v>7</v>
      </c>
      <c r="G456">
        <v>100</v>
      </c>
      <c r="H456" t="s">
        <v>81</v>
      </c>
    </row>
    <row r="457" spans="1:8" x14ac:dyDescent="0.3">
      <c r="A457" t="s">
        <v>466</v>
      </c>
      <c r="B457">
        <v>2</v>
      </c>
      <c r="C457">
        <v>0</v>
      </c>
      <c r="D457">
        <v>0</v>
      </c>
      <c r="E457">
        <v>7</v>
      </c>
      <c r="F457">
        <v>7</v>
      </c>
      <c r="G457">
        <v>100</v>
      </c>
      <c r="H457" t="s">
        <v>81</v>
      </c>
    </row>
    <row r="458" spans="1:8" x14ac:dyDescent="0.3">
      <c r="A458" t="s">
        <v>467</v>
      </c>
      <c r="B458">
        <v>5</v>
      </c>
      <c r="C458">
        <v>6.91</v>
      </c>
      <c r="D458">
        <v>0</v>
      </c>
      <c r="E458">
        <v>0</v>
      </c>
      <c r="F458">
        <v>6.91</v>
      </c>
      <c r="G458">
        <v>100</v>
      </c>
      <c r="H458" t="s">
        <v>81</v>
      </c>
    </row>
    <row r="459" spans="1:8" x14ac:dyDescent="0.3">
      <c r="A459" t="s">
        <v>468</v>
      </c>
      <c r="B459">
        <v>9</v>
      </c>
      <c r="C459">
        <v>6.84</v>
      </c>
      <c r="D459">
        <v>0</v>
      </c>
      <c r="E459">
        <v>0</v>
      </c>
      <c r="F459">
        <v>6.84</v>
      </c>
      <c r="G459">
        <v>100</v>
      </c>
      <c r="H459" t="s">
        <v>81</v>
      </c>
    </row>
    <row r="460" spans="1:8" x14ac:dyDescent="0.3">
      <c r="A460" t="s">
        <v>469</v>
      </c>
      <c r="B460">
        <v>10</v>
      </c>
      <c r="C460">
        <v>4.78</v>
      </c>
      <c r="D460">
        <v>3</v>
      </c>
      <c r="E460">
        <v>2</v>
      </c>
      <c r="F460">
        <v>6.78</v>
      </c>
      <c r="G460">
        <v>100</v>
      </c>
      <c r="H460" t="s">
        <v>81</v>
      </c>
    </row>
    <row r="461" spans="1:8" x14ac:dyDescent="0.3">
      <c r="A461" t="s">
        <v>470</v>
      </c>
      <c r="B461">
        <v>3</v>
      </c>
      <c r="C461">
        <v>1.97</v>
      </c>
      <c r="D461">
        <v>0</v>
      </c>
      <c r="E461">
        <v>4.75</v>
      </c>
      <c r="F461">
        <v>6.72</v>
      </c>
      <c r="G461">
        <v>100</v>
      </c>
      <c r="H461" t="s">
        <v>81</v>
      </c>
    </row>
    <row r="462" spans="1:8" x14ac:dyDescent="0.3">
      <c r="A462" t="s">
        <v>471</v>
      </c>
      <c r="B462">
        <v>4</v>
      </c>
      <c r="C462">
        <v>6.68</v>
      </c>
      <c r="D462">
        <v>-0.08</v>
      </c>
      <c r="E462">
        <v>0</v>
      </c>
      <c r="F462">
        <v>6.68</v>
      </c>
      <c r="G462">
        <v>100</v>
      </c>
      <c r="H462" t="s">
        <v>81</v>
      </c>
    </row>
    <row r="463" spans="1:8" x14ac:dyDescent="0.3">
      <c r="A463" t="s">
        <v>472</v>
      </c>
      <c r="B463">
        <v>2</v>
      </c>
      <c r="C463">
        <v>6.28</v>
      </c>
      <c r="D463">
        <v>0</v>
      </c>
      <c r="E463">
        <v>0</v>
      </c>
      <c r="F463">
        <v>6.28</v>
      </c>
      <c r="G463">
        <v>100</v>
      </c>
      <c r="H463" t="s">
        <v>81</v>
      </c>
    </row>
    <row r="464" spans="1:8" x14ac:dyDescent="0.3">
      <c r="A464" t="s">
        <v>473</v>
      </c>
      <c r="B464">
        <v>2</v>
      </c>
      <c r="C464">
        <v>6.17</v>
      </c>
      <c r="D464">
        <v>3.92</v>
      </c>
      <c r="E464">
        <v>0</v>
      </c>
      <c r="F464">
        <v>6.17</v>
      </c>
      <c r="G464">
        <v>100</v>
      </c>
      <c r="H464" t="s">
        <v>81</v>
      </c>
    </row>
    <row r="465" spans="1:8" x14ac:dyDescent="0.3">
      <c r="A465" t="s">
        <v>474</v>
      </c>
      <c r="B465">
        <v>10</v>
      </c>
      <c r="C465">
        <v>6.16</v>
      </c>
      <c r="D465">
        <v>-1</v>
      </c>
      <c r="E465">
        <v>0</v>
      </c>
      <c r="F465">
        <v>6.16</v>
      </c>
      <c r="G465">
        <v>100</v>
      </c>
      <c r="H465" t="s">
        <v>81</v>
      </c>
    </row>
    <row r="466" spans="1:8" x14ac:dyDescent="0.3">
      <c r="A466" t="s">
        <v>475</v>
      </c>
      <c r="B466">
        <v>1</v>
      </c>
      <c r="C466">
        <v>0</v>
      </c>
      <c r="D466">
        <v>0</v>
      </c>
      <c r="E466">
        <v>6</v>
      </c>
      <c r="F466">
        <v>6</v>
      </c>
      <c r="G466">
        <v>100</v>
      </c>
      <c r="H466" t="s">
        <v>81</v>
      </c>
    </row>
    <row r="467" spans="1:8" x14ac:dyDescent="0.3">
      <c r="A467" t="s">
        <v>476</v>
      </c>
      <c r="B467">
        <v>5</v>
      </c>
      <c r="C467">
        <v>6</v>
      </c>
      <c r="D467">
        <v>28</v>
      </c>
      <c r="E467">
        <v>0</v>
      </c>
      <c r="F467">
        <v>6</v>
      </c>
      <c r="G467">
        <v>100</v>
      </c>
      <c r="H467" t="s">
        <v>81</v>
      </c>
    </row>
    <row r="468" spans="1:8" x14ac:dyDescent="0.3">
      <c r="A468" t="s">
        <v>477</v>
      </c>
      <c r="B468">
        <v>4</v>
      </c>
      <c r="C468">
        <v>0</v>
      </c>
      <c r="D468">
        <v>0</v>
      </c>
      <c r="E468">
        <v>6</v>
      </c>
      <c r="F468">
        <v>6</v>
      </c>
      <c r="G468">
        <v>100</v>
      </c>
      <c r="H468" t="s">
        <v>81</v>
      </c>
    </row>
    <row r="469" spans="1:8" x14ac:dyDescent="0.3">
      <c r="A469" t="s">
        <v>478</v>
      </c>
      <c r="B469">
        <v>1</v>
      </c>
      <c r="C469">
        <v>5.95</v>
      </c>
      <c r="D469">
        <v>1.33</v>
      </c>
      <c r="E469">
        <v>0</v>
      </c>
      <c r="F469">
        <v>5.95</v>
      </c>
      <c r="G469">
        <v>100</v>
      </c>
      <c r="H469" t="s">
        <v>81</v>
      </c>
    </row>
    <row r="470" spans="1:8" x14ac:dyDescent="0.3">
      <c r="A470" t="s">
        <v>479</v>
      </c>
      <c r="B470">
        <v>2</v>
      </c>
      <c r="C470">
        <v>5.6</v>
      </c>
      <c r="D470">
        <v>1.83</v>
      </c>
      <c r="E470">
        <v>0</v>
      </c>
      <c r="F470">
        <v>5.6</v>
      </c>
      <c r="G470">
        <v>100</v>
      </c>
      <c r="H470" t="s">
        <v>81</v>
      </c>
    </row>
    <row r="471" spans="1:8" x14ac:dyDescent="0.3">
      <c r="A471" t="s">
        <v>480</v>
      </c>
      <c r="B471">
        <v>1</v>
      </c>
      <c r="C471">
        <v>5.43</v>
      </c>
      <c r="D471">
        <v>0</v>
      </c>
      <c r="E471">
        <v>0</v>
      </c>
      <c r="F471">
        <v>5.43</v>
      </c>
      <c r="G471">
        <v>100</v>
      </c>
      <c r="H471" t="s">
        <v>81</v>
      </c>
    </row>
    <row r="472" spans="1:8" x14ac:dyDescent="0.3">
      <c r="A472" t="s">
        <v>481</v>
      </c>
      <c r="B472">
        <v>6</v>
      </c>
      <c r="C472">
        <v>2.4</v>
      </c>
      <c r="D472">
        <v>-2.16</v>
      </c>
      <c r="E472">
        <v>3</v>
      </c>
      <c r="F472">
        <v>5.4</v>
      </c>
      <c r="G472">
        <v>100</v>
      </c>
      <c r="H472" t="s">
        <v>81</v>
      </c>
    </row>
    <row r="473" spans="1:8" x14ac:dyDescent="0.3">
      <c r="A473" t="s">
        <v>482</v>
      </c>
      <c r="B473">
        <v>1</v>
      </c>
      <c r="C473">
        <v>5.16</v>
      </c>
      <c r="D473">
        <v>0</v>
      </c>
      <c r="E473">
        <v>0</v>
      </c>
      <c r="F473">
        <v>5.16</v>
      </c>
      <c r="G473">
        <v>100</v>
      </c>
      <c r="H473" t="s">
        <v>81</v>
      </c>
    </row>
    <row r="474" spans="1:8" x14ac:dyDescent="0.3">
      <c r="A474" t="s">
        <v>483</v>
      </c>
      <c r="B474">
        <v>1</v>
      </c>
      <c r="C474">
        <v>5.08</v>
      </c>
      <c r="D474">
        <v>0</v>
      </c>
      <c r="E474">
        <v>0</v>
      </c>
      <c r="F474">
        <v>5.08</v>
      </c>
      <c r="G474">
        <v>100</v>
      </c>
      <c r="H474" t="s">
        <v>81</v>
      </c>
    </row>
    <row r="475" spans="1:8" x14ac:dyDescent="0.3">
      <c r="A475" t="s">
        <v>484</v>
      </c>
      <c r="B475">
        <v>1</v>
      </c>
      <c r="C475">
        <v>5.0599999999999996</v>
      </c>
      <c r="D475">
        <v>0</v>
      </c>
      <c r="E475">
        <v>0</v>
      </c>
      <c r="F475">
        <v>5.0599999999999996</v>
      </c>
      <c r="G475">
        <v>100</v>
      </c>
      <c r="H475" t="s">
        <v>81</v>
      </c>
    </row>
    <row r="476" spans="1:8" x14ac:dyDescent="0.3">
      <c r="A476" t="s">
        <v>485</v>
      </c>
      <c r="B476">
        <v>12</v>
      </c>
      <c r="C476">
        <v>6.05</v>
      </c>
      <c r="D476">
        <v>0</v>
      </c>
      <c r="E476">
        <v>-1</v>
      </c>
      <c r="F476">
        <v>5.05</v>
      </c>
      <c r="G476">
        <v>100</v>
      </c>
      <c r="H476" t="s">
        <v>81</v>
      </c>
    </row>
    <row r="477" spans="1:8" x14ac:dyDescent="0.3">
      <c r="A477" t="s">
        <v>486</v>
      </c>
      <c r="B477">
        <v>5</v>
      </c>
      <c r="C477">
        <v>5</v>
      </c>
      <c r="D477">
        <v>0.83</v>
      </c>
      <c r="E477">
        <v>0</v>
      </c>
      <c r="F477">
        <v>5</v>
      </c>
      <c r="G477">
        <v>100</v>
      </c>
      <c r="H477" t="s">
        <v>81</v>
      </c>
    </row>
    <row r="478" spans="1:8" x14ac:dyDescent="0.3">
      <c r="A478" t="s">
        <v>487</v>
      </c>
      <c r="B478">
        <v>3</v>
      </c>
      <c r="C478">
        <v>0.34</v>
      </c>
      <c r="D478">
        <v>0</v>
      </c>
      <c r="E478">
        <v>4</v>
      </c>
      <c r="F478">
        <v>4.34</v>
      </c>
      <c r="G478">
        <v>100</v>
      </c>
      <c r="H478" t="s">
        <v>81</v>
      </c>
    </row>
    <row r="479" spans="1:8" x14ac:dyDescent="0.3">
      <c r="A479" t="s">
        <v>488</v>
      </c>
      <c r="B479">
        <v>2</v>
      </c>
      <c r="C479">
        <v>4.32</v>
      </c>
      <c r="D479">
        <v>0</v>
      </c>
      <c r="E479">
        <v>0</v>
      </c>
      <c r="F479">
        <v>4.32</v>
      </c>
      <c r="G479">
        <v>100</v>
      </c>
      <c r="H479" t="s">
        <v>81</v>
      </c>
    </row>
    <row r="480" spans="1:8" x14ac:dyDescent="0.3">
      <c r="A480" t="s">
        <v>489</v>
      </c>
      <c r="B480">
        <v>5</v>
      </c>
      <c r="C480">
        <v>4.29</v>
      </c>
      <c r="D480">
        <v>0</v>
      </c>
      <c r="E480">
        <v>0</v>
      </c>
      <c r="F480">
        <v>4.29</v>
      </c>
      <c r="G480">
        <v>100</v>
      </c>
      <c r="H480" t="s">
        <v>81</v>
      </c>
    </row>
    <row r="481" spans="1:8" x14ac:dyDescent="0.3">
      <c r="A481" t="s">
        <v>490</v>
      </c>
      <c r="B481">
        <v>4</v>
      </c>
      <c r="C481">
        <v>0.16</v>
      </c>
      <c r="D481">
        <v>1</v>
      </c>
      <c r="E481">
        <v>4</v>
      </c>
      <c r="F481">
        <v>4.16</v>
      </c>
      <c r="G481">
        <v>100</v>
      </c>
      <c r="H481" t="s">
        <v>81</v>
      </c>
    </row>
    <row r="482" spans="1:8" x14ac:dyDescent="0.3">
      <c r="A482" t="s">
        <v>491</v>
      </c>
      <c r="B482">
        <v>2</v>
      </c>
      <c r="C482">
        <v>4.16</v>
      </c>
      <c r="D482">
        <v>6</v>
      </c>
      <c r="E482">
        <v>0</v>
      </c>
      <c r="F482">
        <v>4.16</v>
      </c>
      <c r="G482">
        <v>100</v>
      </c>
      <c r="H482" t="s">
        <v>81</v>
      </c>
    </row>
    <row r="483" spans="1:8" x14ac:dyDescent="0.3">
      <c r="A483" t="s">
        <v>492</v>
      </c>
      <c r="B483">
        <v>2</v>
      </c>
      <c r="C483">
        <v>0</v>
      </c>
      <c r="D483">
        <v>0</v>
      </c>
      <c r="E483">
        <v>4</v>
      </c>
      <c r="F483">
        <v>4</v>
      </c>
      <c r="G483">
        <v>100</v>
      </c>
      <c r="H483" t="s">
        <v>81</v>
      </c>
    </row>
    <row r="484" spans="1:8" x14ac:dyDescent="0.3">
      <c r="A484" t="s">
        <v>493</v>
      </c>
      <c r="B484">
        <v>1</v>
      </c>
      <c r="C484">
        <v>4</v>
      </c>
      <c r="D484">
        <v>4</v>
      </c>
      <c r="E484">
        <v>0</v>
      </c>
      <c r="F484">
        <v>4</v>
      </c>
      <c r="G484">
        <v>100</v>
      </c>
      <c r="H484" t="s">
        <v>81</v>
      </c>
    </row>
    <row r="485" spans="1:8" x14ac:dyDescent="0.3">
      <c r="A485" t="s">
        <v>494</v>
      </c>
      <c r="B485">
        <v>3</v>
      </c>
      <c r="C485">
        <v>3.91</v>
      </c>
      <c r="D485">
        <v>1</v>
      </c>
      <c r="E485">
        <v>0</v>
      </c>
      <c r="F485">
        <v>3.91</v>
      </c>
      <c r="G485">
        <v>100</v>
      </c>
      <c r="H485" t="s">
        <v>81</v>
      </c>
    </row>
    <row r="486" spans="1:8" x14ac:dyDescent="0.3">
      <c r="A486" t="s">
        <v>495</v>
      </c>
      <c r="B486">
        <v>1</v>
      </c>
      <c r="C486">
        <v>3.9</v>
      </c>
      <c r="D486">
        <v>0</v>
      </c>
      <c r="E486">
        <v>0</v>
      </c>
      <c r="F486">
        <v>3.9</v>
      </c>
      <c r="G486">
        <v>100</v>
      </c>
      <c r="H486" t="s">
        <v>81</v>
      </c>
    </row>
    <row r="487" spans="1:8" x14ac:dyDescent="0.3">
      <c r="A487" t="s">
        <v>496</v>
      </c>
      <c r="B487">
        <v>2</v>
      </c>
      <c r="C487">
        <v>3.8</v>
      </c>
      <c r="D487">
        <v>0</v>
      </c>
      <c r="E487">
        <v>0</v>
      </c>
      <c r="F487">
        <v>3.8</v>
      </c>
      <c r="G487">
        <v>100</v>
      </c>
      <c r="H487" t="s">
        <v>81</v>
      </c>
    </row>
    <row r="488" spans="1:8" x14ac:dyDescent="0.3">
      <c r="A488" t="s">
        <v>497</v>
      </c>
      <c r="B488">
        <v>2</v>
      </c>
      <c r="C488">
        <v>2.5299999999999998</v>
      </c>
      <c r="D488">
        <v>2</v>
      </c>
      <c r="E488">
        <v>1</v>
      </c>
      <c r="F488">
        <v>3.53</v>
      </c>
      <c r="G488">
        <v>100</v>
      </c>
      <c r="H488" t="s">
        <v>81</v>
      </c>
    </row>
    <row r="489" spans="1:8" x14ac:dyDescent="0.3">
      <c r="A489" t="s">
        <v>498</v>
      </c>
      <c r="B489">
        <v>1</v>
      </c>
      <c r="C489">
        <v>3.13</v>
      </c>
      <c r="D489">
        <v>6.67</v>
      </c>
      <c r="E489">
        <v>0</v>
      </c>
      <c r="F489">
        <v>3.13</v>
      </c>
      <c r="G489">
        <v>100</v>
      </c>
      <c r="H489" t="s">
        <v>81</v>
      </c>
    </row>
    <row r="490" spans="1:8" x14ac:dyDescent="0.3">
      <c r="A490" t="s">
        <v>499</v>
      </c>
      <c r="B490">
        <v>1</v>
      </c>
      <c r="C490">
        <v>0</v>
      </c>
      <c r="D490">
        <v>0</v>
      </c>
      <c r="E490">
        <v>3</v>
      </c>
      <c r="F490">
        <v>3</v>
      </c>
      <c r="G490">
        <v>100</v>
      </c>
      <c r="H490" t="s">
        <v>81</v>
      </c>
    </row>
    <row r="491" spans="1:8" x14ac:dyDescent="0.3">
      <c r="A491" t="s">
        <v>500</v>
      </c>
      <c r="B491">
        <v>2</v>
      </c>
      <c r="C491">
        <v>2.93</v>
      </c>
      <c r="D491">
        <v>0</v>
      </c>
      <c r="E491">
        <v>0</v>
      </c>
      <c r="F491">
        <v>2.93</v>
      </c>
      <c r="G491">
        <v>100</v>
      </c>
      <c r="H491" t="s">
        <v>81</v>
      </c>
    </row>
    <row r="492" spans="1:8" x14ac:dyDescent="0.3">
      <c r="A492" t="s">
        <v>501</v>
      </c>
      <c r="B492">
        <v>4</v>
      </c>
      <c r="C492">
        <v>2.84</v>
      </c>
      <c r="D492">
        <v>0</v>
      </c>
      <c r="E492">
        <v>0</v>
      </c>
      <c r="F492">
        <v>2.84</v>
      </c>
      <c r="G492">
        <v>100</v>
      </c>
      <c r="H492" t="s">
        <v>81</v>
      </c>
    </row>
    <row r="493" spans="1:8" x14ac:dyDescent="0.3">
      <c r="A493" t="s">
        <v>502</v>
      </c>
      <c r="B493">
        <v>1</v>
      </c>
      <c r="C493">
        <v>2.75</v>
      </c>
      <c r="D493">
        <v>0</v>
      </c>
      <c r="E493">
        <v>0</v>
      </c>
      <c r="F493">
        <v>2.75</v>
      </c>
      <c r="G493">
        <v>100</v>
      </c>
      <c r="H493" t="s">
        <v>81</v>
      </c>
    </row>
    <row r="494" spans="1:8" x14ac:dyDescent="0.3">
      <c r="A494" t="s">
        <v>503</v>
      </c>
      <c r="B494">
        <v>2</v>
      </c>
      <c r="C494">
        <v>0.72</v>
      </c>
      <c r="D494">
        <v>0</v>
      </c>
      <c r="E494">
        <v>2</v>
      </c>
      <c r="F494">
        <v>2.72</v>
      </c>
      <c r="G494">
        <v>100</v>
      </c>
      <c r="H494" t="s">
        <v>81</v>
      </c>
    </row>
    <row r="495" spans="1:8" x14ac:dyDescent="0.3">
      <c r="A495" t="s">
        <v>504</v>
      </c>
      <c r="B495">
        <v>2</v>
      </c>
      <c r="C495">
        <v>2.64</v>
      </c>
      <c r="D495">
        <v>0</v>
      </c>
      <c r="E495">
        <v>0</v>
      </c>
      <c r="F495">
        <v>2.64</v>
      </c>
      <c r="G495">
        <v>100</v>
      </c>
      <c r="H495" t="s">
        <v>81</v>
      </c>
    </row>
    <row r="496" spans="1:8" x14ac:dyDescent="0.3">
      <c r="A496" t="s">
        <v>505</v>
      </c>
      <c r="B496">
        <v>1</v>
      </c>
      <c r="C496">
        <v>2.52</v>
      </c>
      <c r="D496">
        <v>2</v>
      </c>
      <c r="E496">
        <v>0</v>
      </c>
      <c r="F496">
        <v>2.52</v>
      </c>
      <c r="G496">
        <v>100</v>
      </c>
      <c r="H496" t="s">
        <v>81</v>
      </c>
    </row>
    <row r="497" spans="1:8" x14ac:dyDescent="0.3">
      <c r="A497" t="s">
        <v>506</v>
      </c>
      <c r="B497">
        <v>1</v>
      </c>
      <c r="C497">
        <v>2.37</v>
      </c>
      <c r="D497">
        <v>0</v>
      </c>
      <c r="E497">
        <v>0</v>
      </c>
      <c r="F497">
        <v>2.37</v>
      </c>
      <c r="G497">
        <v>100</v>
      </c>
      <c r="H497" t="s">
        <v>81</v>
      </c>
    </row>
    <row r="498" spans="1:8" x14ac:dyDescent="0.3">
      <c r="A498" t="s">
        <v>507</v>
      </c>
      <c r="B498">
        <v>2</v>
      </c>
      <c r="C498">
        <v>2.02</v>
      </c>
      <c r="D498">
        <v>-0.83</v>
      </c>
      <c r="E498">
        <v>0</v>
      </c>
      <c r="F498">
        <v>2.02</v>
      </c>
      <c r="G498">
        <v>100</v>
      </c>
      <c r="H498" t="s">
        <v>81</v>
      </c>
    </row>
    <row r="499" spans="1:8" x14ac:dyDescent="0.3">
      <c r="A499" t="s">
        <v>508</v>
      </c>
      <c r="B499">
        <v>1</v>
      </c>
      <c r="C499">
        <v>0</v>
      </c>
      <c r="D499">
        <v>0</v>
      </c>
      <c r="E499">
        <v>2</v>
      </c>
      <c r="F499">
        <v>2</v>
      </c>
      <c r="G499">
        <v>100</v>
      </c>
      <c r="H499" t="s">
        <v>81</v>
      </c>
    </row>
    <row r="500" spans="1:8" x14ac:dyDescent="0.3">
      <c r="A500" t="s">
        <v>509</v>
      </c>
      <c r="B500">
        <v>2</v>
      </c>
      <c r="C500">
        <v>0</v>
      </c>
      <c r="D500">
        <v>0</v>
      </c>
      <c r="E500">
        <v>2</v>
      </c>
      <c r="F500">
        <v>2</v>
      </c>
      <c r="G500">
        <v>100</v>
      </c>
      <c r="H500" t="s">
        <v>81</v>
      </c>
    </row>
    <row r="501" spans="1:8" x14ac:dyDescent="0.3">
      <c r="A501" t="s">
        <v>510</v>
      </c>
      <c r="B501">
        <v>7</v>
      </c>
      <c r="C501">
        <v>1.78</v>
      </c>
      <c r="D501">
        <v>2</v>
      </c>
      <c r="E501">
        <v>0</v>
      </c>
      <c r="F501">
        <v>1.78</v>
      </c>
      <c r="G501">
        <v>100</v>
      </c>
      <c r="H501" t="s">
        <v>81</v>
      </c>
    </row>
    <row r="502" spans="1:8" x14ac:dyDescent="0.3">
      <c r="A502" t="s">
        <v>511</v>
      </c>
      <c r="B502">
        <v>3</v>
      </c>
      <c r="C502">
        <v>1.72</v>
      </c>
      <c r="D502">
        <v>0</v>
      </c>
      <c r="E502">
        <v>0</v>
      </c>
      <c r="F502">
        <v>1.72</v>
      </c>
      <c r="G502">
        <v>100</v>
      </c>
      <c r="H502" t="s">
        <v>81</v>
      </c>
    </row>
    <row r="503" spans="1:8" x14ac:dyDescent="0.3">
      <c r="A503" t="s">
        <v>512</v>
      </c>
      <c r="B503">
        <v>3</v>
      </c>
      <c r="C503">
        <v>1.69</v>
      </c>
      <c r="D503">
        <v>0</v>
      </c>
      <c r="E503">
        <v>0</v>
      </c>
      <c r="F503">
        <v>1.69</v>
      </c>
      <c r="G503">
        <v>100</v>
      </c>
      <c r="H503" t="s">
        <v>81</v>
      </c>
    </row>
    <row r="504" spans="1:8" x14ac:dyDescent="0.3">
      <c r="A504" t="s">
        <v>513</v>
      </c>
      <c r="B504">
        <v>1</v>
      </c>
      <c r="C504">
        <v>1.31</v>
      </c>
      <c r="D504">
        <v>0</v>
      </c>
      <c r="E504">
        <v>0</v>
      </c>
      <c r="F504">
        <v>1.31</v>
      </c>
      <c r="G504">
        <v>100</v>
      </c>
      <c r="H504" t="s">
        <v>81</v>
      </c>
    </row>
    <row r="505" spans="1:8" x14ac:dyDescent="0.3">
      <c r="A505" t="s">
        <v>514</v>
      </c>
      <c r="B505">
        <v>2</v>
      </c>
      <c r="C505">
        <v>1.3</v>
      </c>
      <c r="D505">
        <v>0</v>
      </c>
      <c r="E505">
        <v>0</v>
      </c>
      <c r="F505">
        <v>1.3</v>
      </c>
      <c r="G505">
        <v>100</v>
      </c>
      <c r="H505" t="s">
        <v>81</v>
      </c>
    </row>
    <row r="506" spans="1:8" x14ac:dyDescent="0.3">
      <c r="A506" t="s">
        <v>515</v>
      </c>
      <c r="B506">
        <v>2</v>
      </c>
      <c r="C506">
        <v>1.23</v>
      </c>
      <c r="D506">
        <v>0</v>
      </c>
      <c r="E506">
        <v>0</v>
      </c>
      <c r="F506">
        <v>1.23</v>
      </c>
      <c r="G506">
        <v>100</v>
      </c>
      <c r="H506" t="s">
        <v>81</v>
      </c>
    </row>
    <row r="507" spans="1:8" x14ac:dyDescent="0.3">
      <c r="A507" t="s">
        <v>516</v>
      </c>
      <c r="B507">
        <v>2</v>
      </c>
      <c r="C507">
        <v>0.17</v>
      </c>
      <c r="D507">
        <v>0</v>
      </c>
      <c r="E507">
        <v>1</v>
      </c>
      <c r="F507">
        <v>1.17</v>
      </c>
      <c r="G507">
        <v>100</v>
      </c>
      <c r="H507" t="s">
        <v>81</v>
      </c>
    </row>
    <row r="508" spans="1:8" x14ac:dyDescent="0.3">
      <c r="A508" t="s">
        <v>517</v>
      </c>
      <c r="B508">
        <v>2</v>
      </c>
      <c r="C508">
        <v>0.16</v>
      </c>
      <c r="D508">
        <v>0</v>
      </c>
      <c r="E508">
        <v>1</v>
      </c>
      <c r="F508">
        <v>1.1599999999999999</v>
      </c>
      <c r="G508">
        <v>100</v>
      </c>
      <c r="H508" t="s">
        <v>81</v>
      </c>
    </row>
    <row r="509" spans="1:8" x14ac:dyDescent="0.3">
      <c r="A509" t="s">
        <v>518</v>
      </c>
      <c r="B509">
        <v>2</v>
      </c>
      <c r="C509">
        <v>0.16</v>
      </c>
      <c r="D509">
        <v>-0.5</v>
      </c>
      <c r="E509">
        <v>1</v>
      </c>
      <c r="F509">
        <v>1.1599999999999999</v>
      </c>
      <c r="G509">
        <v>100</v>
      </c>
      <c r="H509" t="s">
        <v>81</v>
      </c>
    </row>
    <row r="510" spans="1:8" x14ac:dyDescent="0.3">
      <c r="A510" t="s">
        <v>519</v>
      </c>
      <c r="B510">
        <v>2</v>
      </c>
      <c r="C510">
        <v>1.1200000000000001</v>
      </c>
      <c r="D510">
        <v>1</v>
      </c>
      <c r="E510">
        <v>0</v>
      </c>
      <c r="F510">
        <v>1.1200000000000001</v>
      </c>
      <c r="G510">
        <v>100</v>
      </c>
      <c r="H510" t="s">
        <v>81</v>
      </c>
    </row>
    <row r="511" spans="1:8" x14ac:dyDescent="0.3">
      <c r="A511" t="s">
        <v>520</v>
      </c>
      <c r="B511">
        <v>4</v>
      </c>
      <c r="C511">
        <v>1.05</v>
      </c>
      <c r="D511">
        <v>0</v>
      </c>
      <c r="E511">
        <v>0</v>
      </c>
      <c r="F511">
        <v>1.05</v>
      </c>
      <c r="G511">
        <v>100</v>
      </c>
      <c r="H511" t="s">
        <v>81</v>
      </c>
    </row>
    <row r="512" spans="1:8" x14ac:dyDescent="0.3">
      <c r="A512" t="s">
        <v>521</v>
      </c>
      <c r="B512">
        <v>3</v>
      </c>
      <c r="C512">
        <v>1.05</v>
      </c>
      <c r="D512">
        <v>1</v>
      </c>
      <c r="E512">
        <v>0</v>
      </c>
      <c r="F512">
        <v>1.05</v>
      </c>
      <c r="G512">
        <v>100</v>
      </c>
      <c r="H512" t="s">
        <v>81</v>
      </c>
    </row>
    <row r="513" spans="1:8" x14ac:dyDescent="0.3">
      <c r="A513" t="s">
        <v>522</v>
      </c>
      <c r="B513">
        <v>1</v>
      </c>
      <c r="C513">
        <v>0</v>
      </c>
      <c r="D513">
        <v>0</v>
      </c>
      <c r="E513">
        <v>1</v>
      </c>
      <c r="F513">
        <v>1</v>
      </c>
      <c r="G513">
        <v>100</v>
      </c>
      <c r="H513" t="s">
        <v>81</v>
      </c>
    </row>
    <row r="514" spans="1:8" x14ac:dyDescent="0.3">
      <c r="A514" t="s">
        <v>523</v>
      </c>
      <c r="B514">
        <v>1</v>
      </c>
      <c r="C514">
        <v>0</v>
      </c>
      <c r="D514">
        <v>0</v>
      </c>
      <c r="E514">
        <v>1</v>
      </c>
      <c r="F514">
        <v>1</v>
      </c>
      <c r="G514">
        <v>100</v>
      </c>
      <c r="H514" t="s">
        <v>81</v>
      </c>
    </row>
    <row r="515" spans="1:8" x14ac:dyDescent="0.3">
      <c r="A515" t="s">
        <v>524</v>
      </c>
      <c r="B515">
        <v>1</v>
      </c>
      <c r="C515">
        <v>0.97</v>
      </c>
      <c r="D515">
        <v>2</v>
      </c>
      <c r="E515">
        <v>0</v>
      </c>
      <c r="F515">
        <v>0.97</v>
      </c>
      <c r="G515">
        <v>100</v>
      </c>
      <c r="H515" t="s">
        <v>81</v>
      </c>
    </row>
    <row r="516" spans="1:8" x14ac:dyDescent="0.3">
      <c r="A516" t="s">
        <v>525</v>
      </c>
      <c r="B516">
        <v>1</v>
      </c>
      <c r="C516">
        <v>0.9</v>
      </c>
      <c r="D516">
        <v>0</v>
      </c>
      <c r="E516">
        <v>0</v>
      </c>
      <c r="F516">
        <v>0.9</v>
      </c>
      <c r="G516">
        <v>100</v>
      </c>
      <c r="H516" t="s">
        <v>81</v>
      </c>
    </row>
    <row r="517" spans="1:8" x14ac:dyDescent="0.3">
      <c r="A517" t="s">
        <v>526</v>
      </c>
      <c r="B517">
        <v>1</v>
      </c>
      <c r="C517">
        <v>0.82</v>
      </c>
      <c r="D517">
        <v>0</v>
      </c>
      <c r="E517">
        <v>0</v>
      </c>
      <c r="F517">
        <v>0.82</v>
      </c>
      <c r="G517">
        <v>100</v>
      </c>
      <c r="H517" t="s">
        <v>81</v>
      </c>
    </row>
    <row r="518" spans="1:8" x14ac:dyDescent="0.3">
      <c r="A518" t="s">
        <v>527</v>
      </c>
      <c r="B518">
        <v>4</v>
      </c>
      <c r="C518">
        <v>0.73</v>
      </c>
      <c r="D518">
        <v>-0.08</v>
      </c>
      <c r="E518">
        <v>0</v>
      </c>
      <c r="F518">
        <v>0.73</v>
      </c>
      <c r="G518">
        <v>100</v>
      </c>
      <c r="H518" t="s">
        <v>81</v>
      </c>
    </row>
    <row r="519" spans="1:8" x14ac:dyDescent="0.3">
      <c r="A519" t="s">
        <v>528</v>
      </c>
      <c r="B519">
        <v>1</v>
      </c>
      <c r="C519">
        <v>0.64</v>
      </c>
      <c r="D519">
        <v>-1</v>
      </c>
      <c r="E519">
        <v>0</v>
      </c>
      <c r="F519">
        <v>0.64</v>
      </c>
      <c r="G519">
        <v>100</v>
      </c>
      <c r="H519" t="s">
        <v>81</v>
      </c>
    </row>
    <row r="520" spans="1:8" x14ac:dyDescent="0.3">
      <c r="A520" t="s">
        <v>529</v>
      </c>
      <c r="B520">
        <v>2</v>
      </c>
      <c r="C520">
        <v>0.64</v>
      </c>
      <c r="D520">
        <v>0</v>
      </c>
      <c r="E520">
        <v>0</v>
      </c>
      <c r="F520">
        <v>0.64</v>
      </c>
      <c r="G520">
        <v>100</v>
      </c>
      <c r="H520" t="s">
        <v>81</v>
      </c>
    </row>
    <row r="521" spans="1:8" x14ac:dyDescent="0.3">
      <c r="A521" t="s">
        <v>530</v>
      </c>
      <c r="B521">
        <v>1</v>
      </c>
      <c r="C521">
        <v>0.64</v>
      </c>
      <c r="D521">
        <v>0</v>
      </c>
      <c r="E521">
        <v>0</v>
      </c>
      <c r="F521">
        <v>0.64</v>
      </c>
      <c r="G521">
        <v>100</v>
      </c>
      <c r="H521" t="s">
        <v>81</v>
      </c>
    </row>
    <row r="522" spans="1:8" x14ac:dyDescent="0.3">
      <c r="A522" t="s">
        <v>531</v>
      </c>
      <c r="B522">
        <v>1</v>
      </c>
      <c r="C522">
        <v>0.64</v>
      </c>
      <c r="D522">
        <v>0</v>
      </c>
      <c r="E522">
        <v>0</v>
      </c>
      <c r="F522">
        <v>0.64</v>
      </c>
      <c r="G522">
        <v>100</v>
      </c>
      <c r="H522" t="s">
        <v>81</v>
      </c>
    </row>
    <row r="523" spans="1:8" x14ac:dyDescent="0.3">
      <c r="A523" t="s">
        <v>532</v>
      </c>
      <c r="B523">
        <v>1</v>
      </c>
      <c r="C523">
        <v>0.57999999999999996</v>
      </c>
      <c r="D523">
        <v>0</v>
      </c>
      <c r="E523">
        <v>0</v>
      </c>
      <c r="F523">
        <v>0.57999999999999996</v>
      </c>
      <c r="G523">
        <v>100</v>
      </c>
      <c r="H523" t="s">
        <v>81</v>
      </c>
    </row>
    <row r="524" spans="1:8" x14ac:dyDescent="0.3">
      <c r="A524" t="s">
        <v>533</v>
      </c>
      <c r="B524">
        <v>1</v>
      </c>
      <c r="C524">
        <v>0.56999999999999995</v>
      </c>
      <c r="D524">
        <v>0</v>
      </c>
      <c r="E524">
        <v>0</v>
      </c>
      <c r="F524">
        <v>0.56999999999999995</v>
      </c>
      <c r="G524">
        <v>100</v>
      </c>
      <c r="H524" t="s">
        <v>81</v>
      </c>
    </row>
    <row r="525" spans="1:8" x14ac:dyDescent="0.3">
      <c r="A525" t="s">
        <v>534</v>
      </c>
      <c r="B525">
        <v>1</v>
      </c>
      <c r="C525">
        <v>0.56000000000000005</v>
      </c>
      <c r="D525">
        <v>0</v>
      </c>
      <c r="E525">
        <v>0</v>
      </c>
      <c r="F525">
        <v>0.56000000000000005</v>
      </c>
      <c r="G525">
        <v>100</v>
      </c>
      <c r="H525" t="s">
        <v>81</v>
      </c>
    </row>
    <row r="526" spans="1:8" x14ac:dyDescent="0.3">
      <c r="A526" t="s">
        <v>535</v>
      </c>
      <c r="B526">
        <v>1</v>
      </c>
      <c r="C526">
        <v>0.41</v>
      </c>
      <c r="D526">
        <v>0</v>
      </c>
      <c r="E526">
        <v>0</v>
      </c>
      <c r="F526">
        <v>0.41</v>
      </c>
      <c r="G526">
        <v>100</v>
      </c>
      <c r="H526" t="s">
        <v>81</v>
      </c>
    </row>
    <row r="527" spans="1:8" x14ac:dyDescent="0.3">
      <c r="A527" t="s">
        <v>536</v>
      </c>
      <c r="B527">
        <v>1</v>
      </c>
      <c r="C527">
        <v>0.4</v>
      </c>
      <c r="D527">
        <v>0</v>
      </c>
      <c r="E527">
        <v>0</v>
      </c>
      <c r="F527">
        <v>0.4</v>
      </c>
      <c r="G527">
        <v>100</v>
      </c>
      <c r="H527" t="s">
        <v>81</v>
      </c>
    </row>
    <row r="528" spans="1:8" x14ac:dyDescent="0.3">
      <c r="A528" t="s">
        <v>537</v>
      </c>
      <c r="B528">
        <v>1</v>
      </c>
      <c r="C528">
        <v>0.4</v>
      </c>
      <c r="D528">
        <v>0</v>
      </c>
      <c r="E528">
        <v>0</v>
      </c>
      <c r="F528">
        <v>0.4</v>
      </c>
      <c r="G528">
        <v>100</v>
      </c>
      <c r="H528" t="s">
        <v>81</v>
      </c>
    </row>
    <row r="529" spans="1:8" x14ac:dyDescent="0.3">
      <c r="A529" t="s">
        <v>538</v>
      </c>
      <c r="B529">
        <v>1</v>
      </c>
      <c r="C529">
        <v>0.32</v>
      </c>
      <c r="D529">
        <v>0</v>
      </c>
      <c r="E529">
        <v>0</v>
      </c>
      <c r="F529">
        <v>0.32</v>
      </c>
      <c r="G529">
        <v>100</v>
      </c>
      <c r="H529" t="s">
        <v>81</v>
      </c>
    </row>
    <row r="530" spans="1:8" x14ac:dyDescent="0.3">
      <c r="A530" t="s">
        <v>539</v>
      </c>
      <c r="B530">
        <v>1</v>
      </c>
      <c r="C530">
        <v>0.24</v>
      </c>
      <c r="D530">
        <v>0</v>
      </c>
      <c r="E530">
        <v>0</v>
      </c>
      <c r="F530">
        <v>0.24</v>
      </c>
      <c r="G530">
        <v>100</v>
      </c>
      <c r="H530" t="s">
        <v>81</v>
      </c>
    </row>
    <row r="531" spans="1:8" x14ac:dyDescent="0.3">
      <c r="A531" t="s">
        <v>540</v>
      </c>
      <c r="B531">
        <v>1</v>
      </c>
      <c r="C531">
        <v>0.24</v>
      </c>
      <c r="D531">
        <v>0</v>
      </c>
      <c r="E531">
        <v>0</v>
      </c>
      <c r="F531">
        <v>0.24</v>
      </c>
      <c r="G531">
        <v>100</v>
      </c>
      <c r="H531" t="s">
        <v>81</v>
      </c>
    </row>
    <row r="532" spans="1:8" x14ac:dyDescent="0.3">
      <c r="A532" t="s">
        <v>541</v>
      </c>
      <c r="B532">
        <v>3</v>
      </c>
      <c r="C532">
        <v>0.17</v>
      </c>
      <c r="D532">
        <v>3</v>
      </c>
      <c r="E532">
        <v>0</v>
      </c>
      <c r="F532">
        <v>0.17</v>
      </c>
      <c r="G532">
        <v>100</v>
      </c>
      <c r="H532" t="s">
        <v>81</v>
      </c>
    </row>
    <row r="533" spans="1:8" x14ac:dyDescent="0.3">
      <c r="A533" t="s">
        <v>542</v>
      </c>
      <c r="B533">
        <v>1</v>
      </c>
      <c r="C533">
        <v>0.17</v>
      </c>
      <c r="D533">
        <v>0</v>
      </c>
      <c r="E533">
        <v>0</v>
      </c>
      <c r="F533">
        <v>0.17</v>
      </c>
      <c r="G533">
        <v>100</v>
      </c>
      <c r="H533" t="s">
        <v>81</v>
      </c>
    </row>
    <row r="534" spans="1:8" x14ac:dyDescent="0.3">
      <c r="A534" t="s">
        <v>543</v>
      </c>
      <c r="B534">
        <v>1</v>
      </c>
      <c r="C534">
        <v>0.17</v>
      </c>
      <c r="D534">
        <v>0</v>
      </c>
      <c r="E534">
        <v>0</v>
      </c>
      <c r="F534">
        <v>0.17</v>
      </c>
      <c r="G534">
        <v>100</v>
      </c>
      <c r="H534" t="s">
        <v>81</v>
      </c>
    </row>
    <row r="535" spans="1:8" x14ac:dyDescent="0.3">
      <c r="A535" t="s">
        <v>544</v>
      </c>
      <c r="B535">
        <v>1</v>
      </c>
      <c r="C535">
        <v>0.17</v>
      </c>
      <c r="D535">
        <v>0</v>
      </c>
      <c r="E535">
        <v>0</v>
      </c>
      <c r="F535">
        <v>0.17</v>
      </c>
      <c r="G535">
        <v>100</v>
      </c>
      <c r="H535" t="s">
        <v>81</v>
      </c>
    </row>
    <row r="536" spans="1:8" x14ac:dyDescent="0.3">
      <c r="A536" t="s">
        <v>545</v>
      </c>
      <c r="B536">
        <v>1</v>
      </c>
      <c r="C536">
        <v>0.16</v>
      </c>
      <c r="D536">
        <v>1</v>
      </c>
      <c r="E536">
        <v>0</v>
      </c>
      <c r="F536">
        <v>0.16</v>
      </c>
      <c r="G536">
        <v>100</v>
      </c>
      <c r="H536" t="s">
        <v>81</v>
      </c>
    </row>
    <row r="537" spans="1:8" x14ac:dyDescent="0.3">
      <c r="A537" t="s">
        <v>546</v>
      </c>
      <c r="B537">
        <v>1</v>
      </c>
      <c r="C537">
        <v>0.16</v>
      </c>
      <c r="D537">
        <v>0</v>
      </c>
      <c r="E537">
        <v>0</v>
      </c>
      <c r="F537">
        <v>0.16</v>
      </c>
      <c r="G537">
        <v>100</v>
      </c>
      <c r="H537" t="s">
        <v>81</v>
      </c>
    </row>
    <row r="538" spans="1:8" x14ac:dyDescent="0.3">
      <c r="A538" t="s">
        <v>547</v>
      </c>
      <c r="B538">
        <v>1</v>
      </c>
      <c r="C538">
        <v>0.08</v>
      </c>
      <c r="D538">
        <v>0</v>
      </c>
      <c r="E538">
        <v>0</v>
      </c>
      <c r="F538">
        <v>0.08</v>
      </c>
      <c r="G538">
        <v>100</v>
      </c>
      <c r="H538" t="s">
        <v>81</v>
      </c>
    </row>
    <row r="539" spans="1:8" x14ac:dyDescent="0.3">
      <c r="A539" t="s">
        <v>548</v>
      </c>
      <c r="B539">
        <v>1</v>
      </c>
      <c r="C539">
        <v>0.04</v>
      </c>
      <c r="D539">
        <v>0</v>
      </c>
      <c r="E539">
        <v>0</v>
      </c>
      <c r="F539">
        <v>0.04</v>
      </c>
      <c r="G539">
        <v>100</v>
      </c>
      <c r="H539" t="s">
        <v>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5029-B81D-4F32-A81D-D2CAF30C82F6}">
  <dimension ref="A2:B6"/>
  <sheetViews>
    <sheetView workbookViewId="0">
      <selection activeCell="B2" sqref="B2"/>
    </sheetView>
  </sheetViews>
  <sheetFormatPr defaultRowHeight="14.4" x14ac:dyDescent="0.3"/>
  <cols>
    <col min="1" max="1" width="33.5546875" customWidth="1"/>
    <col min="2" max="2" width="45.44140625" customWidth="1"/>
  </cols>
  <sheetData>
    <row r="2" spans="1:2" x14ac:dyDescent="0.3">
      <c r="A2" t="s">
        <v>549</v>
      </c>
      <c r="B2" t="s">
        <v>10</v>
      </c>
    </row>
    <row r="3" spans="1:2" x14ac:dyDescent="0.3">
      <c r="A3" t="s">
        <v>550</v>
      </c>
      <c r="B3">
        <f>_xlfn.XLOOKUP($B$2,'Supplier Pareto Analysis'!A2:A539,'Supplier Pareto Analysis'!G2:G539)</f>
        <v>32.880000000000003</v>
      </c>
    </row>
    <row r="4" spans="1:2" x14ac:dyDescent="0.3">
      <c r="A4" t="s">
        <v>551</v>
      </c>
      <c r="B4" t="str">
        <f>_xlfn.XLOOKUP($B$2,'Supplier Pareto Analysis'!A2:A539,'Supplier Pareto Analysis'!H2:H539)</f>
        <v>Tier 1 - Strategic (Top 80%)</v>
      </c>
    </row>
    <row r="5" spans="1:2" x14ac:dyDescent="0.3">
      <c r="A5" t="s">
        <v>552</v>
      </c>
      <c r="B5">
        <f>_xlfn.XLOOKUP($B$2,'Supplier Pareto Analysis'!A2:A539,'Supplier Pareto Analysis'!F2:F539)</f>
        <v>1653403.17</v>
      </c>
    </row>
    <row r="6" spans="1:2" x14ac:dyDescent="0.3">
      <c r="A6" t="s">
        <v>553</v>
      </c>
      <c r="B6">
        <f>_xlfn.XLOOKUP($B$2,'Supplier Pareto Analysis'!A2:A539,'Supplier Pareto Analysis'!B2:B539)</f>
        <v>256</v>
      </c>
    </row>
  </sheetData>
  <conditionalFormatting sqref="B4">
    <cfRule type="containsText" dxfId="4" priority="1" operator="containsText" text="Tier 3">
      <formula>NOT(ISERROR(SEARCH("Tier 3",B4)))</formula>
    </cfRule>
    <cfRule type="containsText" dxfId="3" priority="2" operator="containsText" text="Tier 1">
      <formula>NOT(ISERROR(SEARCH("Tier 1",B4)))</formula>
    </cfRule>
    <cfRule type="containsText" dxfId="2" priority="3" operator="containsText" text="Tier 1 ">
      <formula>NOT(ISERROR(SEARCH("Tier 1 ",B4)))</formula>
    </cfRule>
    <cfRule type="containsText" dxfId="1" priority="4" operator="containsText" text="Tier 2">
      <formula>NOT(ISERROR(SEARCH("Tier 2",B4)))</formula>
    </cfRule>
    <cfRule type="containsText" dxfId="0" priority="5" operator="containsText" text="Tier 1 ">
      <formula>NOT(ISERROR(SEARCH("Tier 1 ",B4)))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47A49A-32DC-41AE-B721-46AA1BCBE51A}">
          <x14:formula1>
            <xm:f>'Supplier Pareto Analysis'!$A$2:$A$539</xm:f>
          </x14:formula1>
          <xm:sqref>B2:C2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5BD5-CDAB-40CF-85AC-346CF67DEA62}">
  <dimension ref="B2:F13"/>
  <sheetViews>
    <sheetView tabSelected="1" workbookViewId="0">
      <selection activeCell="F21" sqref="F21"/>
    </sheetView>
  </sheetViews>
  <sheetFormatPr defaultRowHeight="14.4" x14ac:dyDescent="0.3"/>
  <cols>
    <col min="2" max="2" width="37.109375" customWidth="1"/>
    <col min="3" max="3" width="15.6640625" customWidth="1"/>
    <col min="4" max="4" width="26" customWidth="1"/>
    <col min="5" max="5" width="18.5546875" customWidth="1"/>
    <col min="6" max="6" width="23.88671875" customWidth="1"/>
  </cols>
  <sheetData>
    <row r="2" spans="2:6" x14ac:dyDescent="0.3">
      <c r="B2" t="s">
        <v>554</v>
      </c>
      <c r="C2" s="2">
        <v>1500</v>
      </c>
    </row>
    <row r="4" spans="2:6" x14ac:dyDescent="0.3">
      <c r="B4" t="s">
        <v>564</v>
      </c>
      <c r="C4" t="s">
        <v>558</v>
      </c>
      <c r="D4" t="s">
        <v>559</v>
      </c>
      <c r="E4" t="s">
        <v>560</v>
      </c>
      <c r="F4" t="s">
        <v>561</v>
      </c>
    </row>
    <row r="5" spans="2:6" x14ac:dyDescent="0.3">
      <c r="B5" t="s">
        <v>557</v>
      </c>
      <c r="C5">
        <f>COUNTIFS(Table2[Vendor_Tier],"Tier 1*")</f>
        <v>20</v>
      </c>
      <c r="D5">
        <f>SUMIFS(Table2[Gross_Outbound_Volume],Table2[Vendor_Tier],"Tier 1*")</f>
        <v>8915347.4199999999</v>
      </c>
      <c r="E5" s="1">
        <f>D5/SUM(Table2[Gross_Outbound_Volume])</f>
        <v>0.79984428952873188</v>
      </c>
      <c r="F5" s="3">
        <f>($C$2*C5)</f>
        <v>30000</v>
      </c>
    </row>
    <row r="6" spans="2:6" x14ac:dyDescent="0.3">
      <c r="B6" t="s">
        <v>555</v>
      </c>
      <c r="C6">
        <f>COUNTIFS(Table2[Vendor_Tier],"Tier 2*")</f>
        <v>50</v>
      </c>
      <c r="D6">
        <f>SUMIFS(Table2[Gross_Outbound_Volume],Table2[Vendor_Tier],"Tier 2*")</f>
        <v>1664924.6199999992</v>
      </c>
      <c r="E6" s="1">
        <f>D6/SUM(Table2[Gross_Outbound_Volume])</f>
        <v>0.14936943980617115</v>
      </c>
      <c r="F6" s="3">
        <f t="shared" ref="F6:F7" si="0">($C$2*C6)</f>
        <v>75000</v>
      </c>
    </row>
    <row r="7" spans="2:6" x14ac:dyDescent="0.3">
      <c r="B7" t="s">
        <v>556</v>
      </c>
      <c r="C7">
        <f>COUNTIFS(Table2[Vendor_Tier],"Tier 3*")</f>
        <v>468</v>
      </c>
      <c r="D7">
        <f>SUMIFS(Table2[Gross_Outbound_Volume],Table2[Vendor_Tier],"Tier 3*")</f>
        <v>566081.74000000115</v>
      </c>
      <c r="E7" s="1">
        <f>D7/SUM(Table2[Gross_Outbound_Volume])</f>
        <v>5.0786270665096438E-2</v>
      </c>
      <c r="F7" s="3">
        <f t="shared" si="0"/>
        <v>702000</v>
      </c>
    </row>
    <row r="8" spans="2:6" x14ac:dyDescent="0.3">
      <c r="E8" s="1"/>
      <c r="F8" s="3"/>
    </row>
    <row r="9" spans="2:6" ht="12.6" customHeight="1" x14ac:dyDescent="0.3">
      <c r="B9" t="s">
        <v>565</v>
      </c>
      <c r="C9" t="s">
        <v>566</v>
      </c>
    </row>
    <row r="10" spans="2:6" x14ac:dyDescent="0.3">
      <c r="B10" t="s">
        <v>562</v>
      </c>
      <c r="C10" s="4">
        <f>F7</f>
        <v>702000</v>
      </c>
    </row>
    <row r="11" spans="2:6" x14ac:dyDescent="0.3">
      <c r="B11" t="s">
        <v>563</v>
      </c>
      <c r="C11" s="1">
        <f>E7</f>
        <v>5.0786270665096438E-2</v>
      </c>
    </row>
    <row r="13" spans="2:6" x14ac:dyDescent="0.3">
      <c r="B13" s="5" t="str">
        <f>"By rationalizing Tier 3 vendors, we can eliminate " &amp; TEXT(C10,"$#,##0") &amp; " in administrative overhead while sacrificing only " &amp; TEXT(C11, "0.0%") &amp; " of total case volume."</f>
        <v>By rationalizing Tier 3 vendors, we can eliminate $7,02,000 in administrative overhead while sacrificing only 5.1% of total case volume.</v>
      </c>
      <c r="C13" s="5"/>
      <c r="D13" s="5"/>
      <c r="E13" s="5"/>
      <c r="F13" s="5"/>
    </row>
  </sheetData>
  <mergeCells count="1">
    <mergeCell ref="B13:F13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 Pareto Analysis</vt:lpstr>
      <vt:lpstr>VENDOR CATEGORIZATION DASHBOARD</vt:lpstr>
      <vt:lpstr>VENDOR RATIONALIZATION DASHBOAR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Pranet Jain</dc:creator>
  <cp:lastModifiedBy>Pranet Jain</cp:lastModifiedBy>
  <dcterms:created xsi:type="dcterms:W3CDTF">2026-10-04T18:08:49Z</dcterms:created>
  <dcterms:modified xsi:type="dcterms:W3CDTF">2026-10-05T18:26:48Z</dcterms:modified>
</cp:coreProperties>
</file>